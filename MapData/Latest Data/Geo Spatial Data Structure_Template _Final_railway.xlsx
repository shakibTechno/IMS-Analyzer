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id\Downloads\"/>
    </mc:Choice>
  </mc:AlternateContent>
  <bookViews>
    <workbookView xWindow="0" yWindow="0" windowWidth="19200" windowHeight="7190" activeTab="3"/>
  </bookViews>
  <sheets>
    <sheet name="Opr_Point" sheetId="1" r:id="rId1"/>
    <sheet name="Opr_Line" sheetId="3" r:id="rId2"/>
    <sheet name="Dictionary" sheetId="10" r:id="rId3"/>
    <sheet name="LMH Point" sheetId="13" r:id="rId4"/>
    <sheet name="POP" sheetId="12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81" i="12" l="1"/>
  <c r="M778" i="12"/>
  <c r="M775" i="12"/>
  <c r="M772" i="12"/>
  <c r="M769" i="12"/>
  <c r="M766" i="12"/>
  <c r="M763" i="12"/>
  <c r="M760" i="12"/>
  <c r="M757" i="12"/>
  <c r="M754" i="12"/>
  <c r="M751" i="12"/>
  <c r="M748" i="12"/>
  <c r="M745" i="12"/>
  <c r="M742" i="12"/>
  <c r="M739" i="12"/>
  <c r="M736" i="12"/>
  <c r="M733" i="12"/>
  <c r="M730" i="12"/>
  <c r="M727" i="12"/>
  <c r="M724" i="12"/>
  <c r="M721" i="12"/>
  <c r="M718" i="12"/>
  <c r="M715" i="12"/>
  <c r="M712" i="12"/>
  <c r="M709" i="12"/>
  <c r="M706" i="12"/>
  <c r="M703" i="12"/>
  <c r="M700" i="12"/>
  <c r="M697" i="12"/>
  <c r="M694" i="12"/>
  <c r="M691" i="12"/>
  <c r="M688" i="12"/>
  <c r="M685" i="12"/>
  <c r="M682" i="12"/>
  <c r="M679" i="12"/>
  <c r="M676" i="12"/>
  <c r="M673" i="12"/>
  <c r="M670" i="12"/>
  <c r="M667" i="12"/>
  <c r="M664" i="12"/>
  <c r="M661" i="12"/>
  <c r="M658" i="12"/>
  <c r="M655" i="12"/>
  <c r="M652" i="12"/>
  <c r="M649" i="12"/>
  <c r="M646" i="12"/>
  <c r="M643" i="12"/>
  <c r="M640" i="12"/>
  <c r="M637" i="12"/>
  <c r="M634" i="12"/>
  <c r="M631" i="12"/>
  <c r="M628" i="12"/>
  <c r="M625" i="12"/>
  <c r="M622" i="12"/>
  <c r="M619" i="12"/>
  <c r="M616" i="12"/>
  <c r="M613" i="12"/>
  <c r="M610" i="12"/>
  <c r="M607" i="12"/>
  <c r="M604" i="12"/>
  <c r="M601" i="12"/>
  <c r="M598" i="12"/>
  <c r="M595" i="12"/>
  <c r="M592" i="12"/>
  <c r="M589" i="12"/>
  <c r="M586" i="12"/>
  <c r="M583" i="12"/>
  <c r="M580" i="12"/>
  <c r="M577" i="12"/>
  <c r="M574" i="12"/>
  <c r="M571" i="12"/>
  <c r="M568" i="12"/>
  <c r="M565" i="12"/>
  <c r="M562" i="12"/>
  <c r="M559" i="12"/>
  <c r="M556" i="12"/>
  <c r="M553" i="12"/>
  <c r="M550" i="12"/>
  <c r="M547" i="12"/>
  <c r="M544" i="12"/>
  <c r="M541" i="12"/>
  <c r="M538" i="12"/>
  <c r="M535" i="12"/>
  <c r="M532" i="12"/>
  <c r="M529" i="12"/>
  <c r="M526" i="12"/>
  <c r="M523" i="12"/>
  <c r="M520" i="12"/>
  <c r="M517" i="12"/>
  <c r="M514" i="12"/>
  <c r="M511" i="12"/>
  <c r="M508" i="12"/>
  <c r="M505" i="12"/>
  <c r="M502" i="12"/>
  <c r="M499" i="12"/>
  <c r="M496" i="12"/>
  <c r="M493" i="12"/>
  <c r="M490" i="12"/>
  <c r="M487" i="12"/>
  <c r="M484" i="12"/>
  <c r="M481" i="12"/>
  <c r="M478" i="12"/>
  <c r="M475" i="12"/>
  <c r="M472" i="12"/>
  <c r="M469" i="12"/>
  <c r="M466" i="12"/>
  <c r="M463" i="12"/>
  <c r="M460" i="12"/>
  <c r="M457" i="12"/>
  <c r="M454" i="12"/>
  <c r="M451" i="12"/>
  <c r="M448" i="12"/>
  <c r="M445" i="12"/>
  <c r="M442" i="12"/>
  <c r="M439" i="12"/>
  <c r="M436" i="12"/>
  <c r="M433" i="12"/>
  <c r="M430" i="12"/>
  <c r="M427" i="12"/>
  <c r="M424" i="12"/>
  <c r="M421" i="12"/>
  <c r="M418" i="12"/>
  <c r="M415" i="12"/>
  <c r="M412" i="12"/>
  <c r="M409" i="12"/>
  <c r="M406" i="12"/>
  <c r="M403" i="12"/>
  <c r="M400" i="12"/>
  <c r="M397" i="12"/>
  <c r="M394" i="12"/>
  <c r="M391" i="12"/>
  <c r="M388" i="12"/>
  <c r="M385" i="12"/>
  <c r="M382" i="12"/>
  <c r="M379" i="12"/>
  <c r="M376" i="12"/>
  <c r="M373" i="12"/>
  <c r="M370" i="12"/>
  <c r="M367" i="12"/>
  <c r="M364" i="12"/>
  <c r="M361" i="12"/>
  <c r="M358" i="12"/>
  <c r="M355" i="12"/>
  <c r="M352" i="12"/>
  <c r="M349" i="12"/>
  <c r="M346" i="12"/>
  <c r="M343" i="12"/>
  <c r="M340" i="12"/>
  <c r="M337" i="12"/>
  <c r="M334" i="12"/>
  <c r="M331" i="12"/>
  <c r="M328" i="12"/>
  <c r="M325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F38" i="10" l="1"/>
  <c r="F40" i="10"/>
</calcChain>
</file>

<file path=xl/sharedStrings.xml><?xml version="1.0" encoding="utf-8"?>
<sst xmlns="http://schemas.openxmlformats.org/spreadsheetml/2006/main" count="3777" uniqueCount="737">
  <si>
    <t>NOTE:</t>
  </si>
  <si>
    <t>Data Field</t>
  </si>
  <si>
    <t>Definition</t>
  </si>
  <si>
    <t>Remarks</t>
  </si>
  <si>
    <t>Example</t>
  </si>
  <si>
    <t>Latitude</t>
  </si>
  <si>
    <t>Longitude</t>
  </si>
  <si>
    <t>Tarapur_Puthia, Tarail</t>
  </si>
  <si>
    <t>Table Name</t>
  </si>
  <si>
    <t>Sl.No</t>
  </si>
  <si>
    <t>a</t>
  </si>
  <si>
    <t>c</t>
  </si>
  <si>
    <t>d</t>
  </si>
  <si>
    <t>b</t>
  </si>
  <si>
    <t>e</t>
  </si>
  <si>
    <t>g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</si>
  <si>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</si>
  <si>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</si>
  <si>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</si>
  <si>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</si>
  <si>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</si>
  <si>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</si>
  <si>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</si>
  <si>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</si>
  <si>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</si>
  <si>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</si>
  <si>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Point_Name</t>
  </si>
  <si>
    <t>Point_Type</t>
  </si>
  <si>
    <t>Line_Type</t>
  </si>
  <si>
    <t>Path_Along</t>
  </si>
  <si>
    <t xml:space="preserve">Duct_Use </t>
  </si>
  <si>
    <t xml:space="preserve">Number of duct. If the operator has no own duct, then input value will be 0.  </t>
  </si>
  <si>
    <t xml:space="preserve">Duct in use.  If the operator has no own duct, then input value will be 0.  </t>
  </si>
  <si>
    <t>Longitude (WGS 84) dd.dddddd of a point.</t>
  </si>
  <si>
    <t>Latitude(WGS 84)  dd.dddddd of a point.</t>
  </si>
  <si>
    <t xml:space="preserve">Number of total core in the total duct/cable (single value). </t>
  </si>
  <si>
    <t>Local place name of the Point.</t>
  </si>
  <si>
    <t>Local place name of connection between two end points.For Example District to District or Upazilla to Upazilla or location of site-A to location of site-B.</t>
  </si>
  <si>
    <t>Description of fiber cable path.</t>
  </si>
  <si>
    <t>Number of Optical Cable in the duct.</t>
  </si>
  <si>
    <t>Installation type of optical cable link.</t>
  </si>
  <si>
    <t>Note :</t>
  </si>
  <si>
    <t>01</t>
  </si>
  <si>
    <t>02</t>
  </si>
  <si>
    <t xml:space="preserve">Line_Name </t>
  </si>
  <si>
    <t>q</t>
  </si>
  <si>
    <t>r</t>
  </si>
  <si>
    <t>s</t>
  </si>
  <si>
    <t>Operator_Code</t>
  </si>
  <si>
    <t>FID</t>
  </si>
  <si>
    <t>Fiber@Home., Summit Communications ltd,
Bangladesh Railway,etc</t>
  </si>
  <si>
    <t>Operator_Name</t>
  </si>
  <si>
    <t>Name of the Licensee/Operator.</t>
  </si>
  <si>
    <t>Unique ID generated from the operator to define a line</t>
  </si>
  <si>
    <t>Generated from System for line information</t>
  </si>
  <si>
    <t>Dhaka to Comilla/Mirpur to Uttara/X3232 to DHMHPV.</t>
  </si>
  <si>
    <t>Aerial/Burial/Underground/Overhead/Submarine/Terrestrarial/Bridge Crossing,etc</t>
  </si>
  <si>
    <t>Nof of Duct</t>
  </si>
  <si>
    <t>No's of cable</t>
  </si>
  <si>
    <t>Core used from the total cores.</t>
  </si>
  <si>
    <t>Number of unused core in the total cable (u=s-t). No need to input data by operator.</t>
  </si>
  <si>
    <t>Route_length(KM)</t>
  </si>
  <si>
    <t>Cable_length(KM)</t>
  </si>
  <si>
    <t>Optical Cable length of a route (w=v*r*% of buffer length for loop+others). No need to input data by operator.</t>
  </si>
  <si>
    <t>Line_id</t>
  </si>
  <si>
    <t>Feature_code</t>
  </si>
  <si>
    <t>National Highway/Railway/PGCB Grid line/Regional Highway/Local Road, etc</t>
  </si>
  <si>
    <t>Total_core</t>
  </si>
  <si>
    <t>Physical GIS shape length has to be used as a Route length.</t>
  </si>
  <si>
    <t>Infra_type</t>
  </si>
  <si>
    <t>Infrastructure Built by own/lease/Swap,etc</t>
  </si>
  <si>
    <t>Own/Lease/Swap</t>
  </si>
  <si>
    <t>Point_id</t>
  </si>
  <si>
    <t>Year</t>
  </si>
  <si>
    <t>Month</t>
  </si>
  <si>
    <t>4-Digit[YYYY]</t>
  </si>
  <si>
    <t>2-Digit[MM]</t>
  </si>
  <si>
    <t>Description of point of presence/infrastructure.</t>
  </si>
  <si>
    <t>FO Site/LDP/POC/FDT/POP/TJB/ODF/HOP/POI/Node/HH/BTS,etc</t>
  </si>
  <si>
    <t>23.xxxx</t>
  </si>
  <si>
    <t>90.yyyy</t>
  </si>
  <si>
    <t>Feature Code: for infra Point Data =01 &amp; Site Data=03.</t>
  </si>
  <si>
    <t>Feature Code: Line Data = 02</t>
  </si>
  <si>
    <t>Line feature Code-2' [Attribute properties integer type will 'Double']</t>
  </si>
  <si>
    <t>Please follow table-3</t>
  </si>
  <si>
    <t>Point feature Code-01/03' [Attribute properties integer type will 'Double']</t>
  </si>
  <si>
    <r>
      <t>1. Sl.No-</t>
    </r>
    <r>
      <rPr>
        <b/>
        <sz val="14"/>
        <color rgb="FFFF0000"/>
        <rFont val="Calibri"/>
        <family val="2"/>
        <scheme val="minor"/>
      </rPr>
      <t>c</t>
    </r>
    <r>
      <rPr>
        <sz val="14"/>
        <color rgb="FFFF0000"/>
        <rFont val="Calibri"/>
        <family val="2"/>
        <scheme val="minor"/>
      </rPr>
      <t xml:space="preserve"> to h attribute integer type will be "</t>
    </r>
    <r>
      <rPr>
        <b/>
        <sz val="14"/>
        <color rgb="FFFF0000"/>
        <rFont val="Calibri"/>
        <family val="2"/>
        <scheme val="minor"/>
      </rPr>
      <t>Text ".</t>
    </r>
  </si>
  <si>
    <r>
      <t>2.  Sl.No-i to k attribute integer type will be"</t>
    </r>
    <r>
      <rPr>
        <b/>
        <sz val="14"/>
        <color rgb="FFFF0000"/>
        <rFont val="Calibri"/>
        <family val="2"/>
        <scheme val="minor"/>
      </rPr>
      <t>Double".</t>
    </r>
  </si>
  <si>
    <r>
      <t>1. Sl.No-</t>
    </r>
    <r>
      <rPr>
        <b/>
        <sz val="14"/>
        <color rgb="FFFF0000"/>
        <rFont val="Calibri"/>
        <family val="2"/>
        <scheme val="minor"/>
      </rPr>
      <t>c</t>
    </r>
    <r>
      <rPr>
        <sz val="14"/>
        <color rgb="FFFF0000"/>
        <rFont val="Calibri"/>
        <family val="2"/>
        <scheme val="minor"/>
      </rPr>
      <t xml:space="preserve"> to </t>
    </r>
    <r>
      <rPr>
        <b/>
        <sz val="14"/>
        <color rgb="FFFF0000"/>
        <rFont val="Calibri"/>
        <family val="2"/>
        <scheme val="minor"/>
      </rPr>
      <t>j</t>
    </r>
    <r>
      <rPr>
        <sz val="14"/>
        <color rgb="FFFF0000"/>
        <rFont val="Calibri"/>
        <family val="2"/>
        <scheme val="minor"/>
      </rPr>
      <t xml:space="preserve"> attribute integer type will be "</t>
    </r>
    <r>
      <rPr>
        <b/>
        <sz val="14"/>
        <color rgb="FFFF0000"/>
        <rFont val="Calibri"/>
        <family val="2"/>
        <scheme val="minor"/>
      </rPr>
      <t>Text ".</t>
    </r>
  </si>
  <si>
    <r>
      <t>2.  Sl.No-</t>
    </r>
    <r>
      <rPr>
        <b/>
        <sz val="14"/>
        <color rgb="FFFF0000"/>
        <rFont val="Calibri"/>
        <family val="2"/>
        <scheme val="minor"/>
      </rPr>
      <t>k</t>
    </r>
    <r>
      <rPr>
        <sz val="14"/>
        <color rgb="FFFF0000"/>
        <rFont val="Calibri"/>
        <family val="2"/>
        <scheme val="minor"/>
      </rPr>
      <t xml:space="preserve"> to </t>
    </r>
    <r>
      <rPr>
        <b/>
        <sz val="14"/>
        <color rgb="FFFF0000"/>
        <rFont val="Calibri"/>
        <family val="2"/>
        <scheme val="minor"/>
      </rPr>
      <t>s</t>
    </r>
    <r>
      <rPr>
        <sz val="14"/>
        <color rgb="FFFF0000"/>
        <rFont val="Calibri"/>
        <family val="2"/>
        <scheme val="minor"/>
      </rPr>
      <t xml:space="preserve"> attribute integer type will be"</t>
    </r>
    <r>
      <rPr>
        <b/>
        <sz val="14"/>
        <color rgb="FFFF0000"/>
        <rFont val="Calibri"/>
        <family val="2"/>
        <scheme val="minor"/>
      </rPr>
      <t>Double".</t>
    </r>
  </si>
  <si>
    <t>1. This file must be a Shape File format(.shp) and also be a Ms excel with the attribute shown above. Do not alter any column name and their order.</t>
  </si>
  <si>
    <t>This file must be a Shape File format(.shp) and also be a Ms excel with the attribute shown above. Do not alter any column name and their order.</t>
  </si>
  <si>
    <t>Core_used</t>
  </si>
  <si>
    <t>Core_unused</t>
  </si>
  <si>
    <t>2. Before data entry, please read the Data Dictionary and follow accordingly.</t>
  </si>
  <si>
    <t>Opr_Point</t>
  </si>
  <si>
    <t>Opr_Line</t>
  </si>
  <si>
    <t>Operator Line (Fiber) Information</t>
  </si>
  <si>
    <t xml:space="preserve">Data Dictionary </t>
  </si>
  <si>
    <t>Operator Point Information</t>
  </si>
  <si>
    <t>SL</t>
  </si>
  <si>
    <t>License info</t>
  </si>
  <si>
    <t xml:space="preserve">Type </t>
  </si>
  <si>
    <t>Link Name (point  A)</t>
  </si>
  <si>
    <t>Link Name (point  B)</t>
  </si>
  <si>
    <t>Fiber Length (KM)</t>
  </si>
  <si>
    <t>Type o fFibr</t>
  </si>
  <si>
    <t>Total Number of Core</t>
  </si>
  <si>
    <t>Number of Use core</t>
  </si>
  <si>
    <t>Number of Unused Coe</t>
  </si>
  <si>
    <t>Comments</t>
  </si>
  <si>
    <t>BTRC/LI/NTTN(435),Railway/2014-5,Bangladesh Railway</t>
  </si>
  <si>
    <t>Own</t>
  </si>
  <si>
    <t>Narayanganj</t>
  </si>
  <si>
    <t>Chasara</t>
  </si>
  <si>
    <t>Burial</t>
  </si>
  <si>
    <t>Fatulla</t>
  </si>
  <si>
    <t>Gendaria</t>
  </si>
  <si>
    <t>Dhaka</t>
  </si>
  <si>
    <t>Tejgaon</t>
  </si>
  <si>
    <t>Dhaka Cantonment</t>
  </si>
  <si>
    <t>Dhaka Bimanbandar</t>
  </si>
  <si>
    <t>Tongi</t>
  </si>
  <si>
    <t>Dhirasrom</t>
  </si>
  <si>
    <t>Jaydebpur</t>
  </si>
  <si>
    <t>Vhawal Gazipur</t>
  </si>
  <si>
    <t>Rajrndrapur</t>
  </si>
  <si>
    <t>Sreepur</t>
  </si>
  <si>
    <t>Shatkhamair</t>
  </si>
  <si>
    <t>Kawraid</t>
  </si>
  <si>
    <t>Moshakhali</t>
  </si>
  <si>
    <t>Gfargaon</t>
  </si>
  <si>
    <t>Dhola</t>
  </si>
  <si>
    <t>Aulianagar</t>
  </si>
  <si>
    <t>Fatemanagar</t>
  </si>
  <si>
    <t>MymensingJn</t>
  </si>
  <si>
    <t>Mymensing Road</t>
  </si>
  <si>
    <t>Bidyagonj</t>
  </si>
  <si>
    <t>Piyarpur</t>
  </si>
  <si>
    <t>Nurundi</t>
  </si>
  <si>
    <t>Nandina</t>
  </si>
  <si>
    <t>Jamalpur</t>
  </si>
  <si>
    <t>Sorishabari</t>
  </si>
  <si>
    <t>Mlandohobazar</t>
  </si>
  <si>
    <t>Dhurmut</t>
  </si>
  <si>
    <t>Islampur Bazar</t>
  </si>
  <si>
    <t>Dewanganjbazar</t>
  </si>
  <si>
    <t>Tarakandi</t>
  </si>
  <si>
    <t>Bhuapur</t>
  </si>
  <si>
    <t>Ibrahimabad</t>
  </si>
  <si>
    <t>Shambuganj</t>
  </si>
  <si>
    <t>Gouripur JN</t>
  </si>
  <si>
    <t>Shamgonj</t>
  </si>
  <si>
    <t>Purbadhola</t>
  </si>
  <si>
    <t>Jariajanjail</t>
  </si>
  <si>
    <t>Netrokona</t>
  </si>
  <si>
    <t>Thakurakona</t>
  </si>
  <si>
    <t>Barohatta</t>
  </si>
  <si>
    <t>Mohonganj</t>
  </si>
  <si>
    <t>Pubail</t>
  </si>
  <si>
    <t>Arikhola</t>
  </si>
  <si>
    <t>Ghorashal</t>
  </si>
  <si>
    <t>Jinardi</t>
  </si>
  <si>
    <t>Narsingdi</t>
  </si>
  <si>
    <t>Amirganj</t>
  </si>
  <si>
    <t>Khanabari</t>
  </si>
  <si>
    <t>Methikanda</t>
  </si>
  <si>
    <t>Srinidhi</t>
  </si>
  <si>
    <t>Daulatkandi</t>
  </si>
  <si>
    <t>Voirabbazar</t>
  </si>
  <si>
    <t>Ashuganj</t>
  </si>
  <si>
    <t>Talsahar</t>
  </si>
  <si>
    <t>Bhrammanbaria</t>
  </si>
  <si>
    <t>Paghachong</t>
  </si>
  <si>
    <t xml:space="preserve">Akhaura </t>
  </si>
  <si>
    <t>Kuliarchar</t>
  </si>
  <si>
    <t>Sorarchar</t>
  </si>
  <si>
    <t>Manikkhali</t>
  </si>
  <si>
    <t>Gochihata</t>
  </si>
  <si>
    <t>Kishoreganj</t>
  </si>
  <si>
    <t>Nandail Road</t>
  </si>
  <si>
    <t>Atharobari</t>
  </si>
  <si>
    <t>Sohagi</t>
  </si>
  <si>
    <t>Ishawrgonj</t>
  </si>
  <si>
    <t>Azampur</t>
  </si>
  <si>
    <t>Mukundapur</t>
  </si>
  <si>
    <t>horoshpur</t>
  </si>
  <si>
    <t>Montola</t>
  </si>
  <si>
    <t>Noapara</t>
  </si>
  <si>
    <t>Shajibazar</t>
  </si>
  <si>
    <t>Shaestagonj</t>
  </si>
  <si>
    <t>Rashidpur</t>
  </si>
  <si>
    <t>Shatgaon</t>
  </si>
  <si>
    <t>Sreemangal</t>
  </si>
  <si>
    <t>Bhanuganch</t>
  </si>
  <si>
    <t>Shamshernagar</t>
  </si>
  <si>
    <t>Longla</t>
  </si>
  <si>
    <t>Kulaura</t>
  </si>
  <si>
    <t>Voromchal</t>
  </si>
  <si>
    <t>Maijgaon</t>
  </si>
  <si>
    <t>Moglabazar</t>
  </si>
  <si>
    <t>Sylhet</t>
  </si>
  <si>
    <t>Chatakbazar</t>
  </si>
  <si>
    <t>Keraniganj</t>
  </si>
  <si>
    <t>Nimtola</t>
  </si>
  <si>
    <t>Sreenagar</t>
  </si>
  <si>
    <t>Mawa</t>
  </si>
  <si>
    <t>Padma</t>
  </si>
  <si>
    <t>Shibchar</t>
  </si>
  <si>
    <t>Sl</t>
  </si>
  <si>
    <t>Licensee info</t>
  </si>
  <si>
    <t>Type</t>
  </si>
  <si>
    <t>Link Name</t>
  </si>
  <si>
    <t>Latitude/</t>
  </si>
  <si>
    <t>Fiber Length (Km)</t>
  </si>
  <si>
    <t>Type of Fiber</t>
  </si>
  <si>
    <t>Total No.of Core</t>
  </si>
  <si>
    <t>No. of Used</t>
  </si>
  <si>
    <t>No. of Unused</t>
  </si>
  <si>
    <t>Point 'A'</t>
  </si>
  <si>
    <t>Point 'B'</t>
  </si>
  <si>
    <t>Core</t>
  </si>
  <si>
    <t>BTRC/LI/NTTN(435)</t>
  </si>
  <si>
    <t>Chattogram</t>
  </si>
  <si>
    <t>22.335 /</t>
  </si>
  <si>
    <t>Chattogram Jn Cabin</t>
  </si>
  <si>
    <t>22.342 /</t>
  </si>
  <si>
    <t>72 Core</t>
  </si>
  <si>
    <t>Railway/2014-5</t>
  </si>
  <si>
    <t>Bangladesh Railway</t>
  </si>
  <si>
    <t>Pahartali</t>
  </si>
  <si>
    <t>22.354 /</t>
  </si>
  <si>
    <t>Fouzdarhat</t>
  </si>
  <si>
    <t>22.410 /</t>
  </si>
  <si>
    <t>Bhatiary</t>
  </si>
  <si>
    <t>22.430 /</t>
  </si>
  <si>
    <t>Kumira</t>
  </si>
  <si>
    <t>22.505 /</t>
  </si>
  <si>
    <t>Barabkundu</t>
  </si>
  <si>
    <t>22.578 /</t>
  </si>
  <si>
    <t>Sitakundu</t>
  </si>
  <si>
    <t>22.623 /</t>
  </si>
  <si>
    <t>Baraiyadhala</t>
  </si>
  <si>
    <t>22.680 /</t>
  </si>
  <si>
    <t>Bartakia</t>
  </si>
  <si>
    <t>22.762 /</t>
  </si>
  <si>
    <t>Mirsharai</t>
  </si>
  <si>
    <t>22.796 /</t>
  </si>
  <si>
    <t>Mastan Nagar</t>
  </si>
  <si>
    <t>22.838 /</t>
  </si>
  <si>
    <t>Chinki Astana</t>
  </si>
  <si>
    <t>22.885 /</t>
  </si>
  <si>
    <t>Muhuriganj</t>
  </si>
  <si>
    <t>22.938 /</t>
  </si>
  <si>
    <t>Fajilpur</t>
  </si>
  <si>
    <t>22.954 /</t>
  </si>
  <si>
    <t>Kalidah</t>
  </si>
  <si>
    <t>22.986 /</t>
  </si>
  <si>
    <t>Feni</t>
  </si>
  <si>
    <t>23.013 /</t>
  </si>
  <si>
    <t>Sharshadi</t>
  </si>
  <si>
    <t>23.058 /</t>
  </si>
  <si>
    <t>Gunaboti</t>
  </si>
  <si>
    <t>23.087 /</t>
  </si>
  <si>
    <t>Hasanpur</t>
  </si>
  <si>
    <t>23.135 /</t>
  </si>
  <si>
    <t>Nangalkot</t>
  </si>
  <si>
    <t>23.165 /</t>
  </si>
  <si>
    <t>Naoti</t>
  </si>
  <si>
    <t>23.200 /</t>
  </si>
  <si>
    <t>Laksam</t>
  </si>
  <si>
    <t>23.255 /</t>
  </si>
  <si>
    <t>laksam</t>
  </si>
  <si>
    <t>Alishahar</t>
  </si>
  <si>
    <t>23.306 /</t>
  </si>
  <si>
    <t>96 Core</t>
  </si>
  <si>
    <t>Lalmai</t>
  </si>
  <si>
    <t>23.358 /</t>
  </si>
  <si>
    <t>Moynamoti</t>
  </si>
  <si>
    <t>23.437 /</t>
  </si>
  <si>
    <t>Cumilla</t>
  </si>
  <si>
    <t>23.463 /</t>
  </si>
  <si>
    <t>Sadar Rosulpur</t>
  </si>
  <si>
    <t>23.519 /</t>
  </si>
  <si>
    <t>Rajapur</t>
  </si>
  <si>
    <t>23.580 /</t>
  </si>
  <si>
    <t>Shoshidol</t>
  </si>
  <si>
    <t>23.639 /</t>
  </si>
  <si>
    <t>Mondobag</t>
  </si>
  <si>
    <t>23.688 /</t>
  </si>
  <si>
    <t>Kasba</t>
  </si>
  <si>
    <t>23.745 /</t>
  </si>
  <si>
    <t>Imambari</t>
  </si>
  <si>
    <t>23.792 /</t>
  </si>
  <si>
    <t>Gangasagor</t>
  </si>
  <si>
    <t>23.829 /</t>
  </si>
  <si>
    <t>Akhaura</t>
  </si>
  <si>
    <t>23.869 /</t>
  </si>
  <si>
    <t>Doulatganj</t>
  </si>
  <si>
    <t>23.243 /</t>
  </si>
  <si>
    <t>48Core</t>
  </si>
  <si>
    <t>Khila</t>
  </si>
  <si>
    <t>23.171 /</t>
  </si>
  <si>
    <t>Natherpetua</t>
  </si>
  <si>
    <t>23.113 /</t>
  </si>
  <si>
    <t>Sonaimuri</t>
  </si>
  <si>
    <t>23.040 /</t>
  </si>
  <si>
    <t>Bajra</t>
  </si>
  <si>
    <t>22.992 /</t>
  </si>
  <si>
    <t>Chowmuhani</t>
  </si>
  <si>
    <t>22.943 /</t>
  </si>
  <si>
    <t>Maizdee Court</t>
  </si>
  <si>
    <t>22.860 /</t>
  </si>
  <si>
    <t>Noakhali</t>
  </si>
  <si>
    <t>﻿22.827 /</t>
  </si>
  <si>
    <t>Chitoshi Road</t>
  </si>
  <si>
    <t>23.235 /</t>
  </si>
  <si>
    <t>Meher</t>
  </si>
  <si>
    <t>23.245 /</t>
  </si>
  <si>
    <t>Haziganj</t>
  </si>
  <si>
    <t>23.258 /</t>
  </si>
  <si>
    <t>Modhuroad</t>
  </si>
  <si>
    <t>23.244 /</t>
  </si>
  <si>
    <t>Shahtali</t>
  </si>
  <si>
    <t>23.240 /</t>
  </si>
  <si>
    <t>Chandpur</t>
  </si>
  <si>
    <t>23.230 /</t>
  </si>
  <si>
    <t>Jhautola</t>
  </si>
  <si>
    <t>22.359 /</t>
  </si>
  <si>
    <t>Sholoshohar</t>
  </si>
  <si>
    <t>22.373 /</t>
  </si>
  <si>
    <t>Janalihat</t>
  </si>
  <si>
    <t>22.395 /</t>
  </si>
  <si>
    <t>Gumdundi</t>
  </si>
  <si>
    <t>22.377 /</t>
  </si>
  <si>
    <t>Dolghat</t>
  </si>
  <si>
    <t>22.337 /</t>
  </si>
  <si>
    <t>Patiya</t>
  </si>
  <si>
    <t>22.298 /</t>
  </si>
  <si>
    <t>Kanchannagar</t>
  </si>
  <si>
    <t>22.235 /</t>
  </si>
  <si>
    <t>Dohazari</t>
  </si>
  <si>
    <t>22.169 /</t>
  </si>
  <si>
    <t>Satkania</t>
  </si>
  <si>
    <t>22.103 /</t>
  </si>
  <si>
    <t>Lohagora</t>
  </si>
  <si>
    <t>21.986 /</t>
  </si>
  <si>
    <t>Harbang</t>
  </si>
  <si>
    <t>21.860 /</t>
  </si>
  <si>
    <t>Chakaria</t>
  </si>
  <si>
    <t>21.756 /</t>
  </si>
  <si>
    <t>Dulahajra</t>
  </si>
  <si>
    <t>21.675 /</t>
  </si>
  <si>
    <t>Islamabad</t>
  </si>
  <si>
    <t>21.586 /</t>
  </si>
  <si>
    <t>Ramu</t>
  </si>
  <si>
    <t>21.422 /</t>
  </si>
  <si>
    <t>Cox'sbazar</t>
  </si>
  <si>
    <t>21.429 /</t>
  </si>
  <si>
    <t>Chattogram Cant.</t>
  </si>
  <si>
    <t>22.417 /</t>
  </si>
  <si>
    <t>Fatwabad</t>
  </si>
  <si>
    <t>22.458 /</t>
  </si>
  <si>
    <t>Chattogram University</t>
  </si>
  <si>
    <t>22.470 /</t>
  </si>
  <si>
    <t>Hathazari</t>
  </si>
  <si>
    <t>22.506 /</t>
  </si>
  <si>
    <t>Sarkarhat</t>
  </si>
  <si>
    <t>22.554 /</t>
  </si>
  <si>
    <t>Nazirhat</t>
  </si>
  <si>
    <t>22.632 /</t>
  </si>
  <si>
    <t>Khulna</t>
  </si>
  <si>
    <t>Khulna Junction</t>
  </si>
  <si>
    <t>48 Core</t>
  </si>
  <si>
    <t>Doulotpur</t>
  </si>
  <si>
    <t>Phultala</t>
  </si>
  <si>
    <t>Arangghata</t>
  </si>
  <si>
    <t>Mohammadnagar</t>
  </si>
  <si>
    <t>Katakhali</t>
  </si>
  <si>
    <t>Chulkati Bazaar</t>
  </si>
  <si>
    <t>Bhaga</t>
  </si>
  <si>
    <t>Dwigraj</t>
  </si>
  <si>
    <t>Mongla Port</t>
  </si>
  <si>
    <t>Mongla</t>
  </si>
  <si>
    <t>Bezerdanga</t>
  </si>
  <si>
    <t>Nawapara</t>
  </si>
  <si>
    <t>Chengutia</t>
  </si>
  <si>
    <t>Singia</t>
  </si>
  <si>
    <t>Padmabila</t>
  </si>
  <si>
    <t>Jamdia</t>
  </si>
  <si>
    <t>Narail</t>
  </si>
  <si>
    <t>Kashiani</t>
  </si>
  <si>
    <t>MaheshPur</t>
  </si>
  <si>
    <t>Muksudpur</t>
  </si>
  <si>
    <t>Nagarkanda</t>
  </si>
  <si>
    <t>Bhanga Jn</t>
  </si>
  <si>
    <t>Padmabila Jn</t>
  </si>
  <si>
    <t>Rupdia</t>
  </si>
  <si>
    <t>Jessore</t>
  </si>
  <si>
    <t>Jhikargacha</t>
  </si>
  <si>
    <t>Navaron</t>
  </si>
  <si>
    <t>Benapole</t>
  </si>
  <si>
    <t>Jessore Cantonment</t>
  </si>
  <si>
    <t>Meherullanagar</t>
  </si>
  <si>
    <t>Barobazar</t>
  </si>
  <si>
    <t>Mobarakganj</t>
  </si>
  <si>
    <t>Kotchandpur</t>
  </si>
  <si>
    <t>Safderpur</t>
  </si>
  <si>
    <t>Ansarbaria</t>
  </si>
  <si>
    <t>Utholi</t>
  </si>
  <si>
    <t>Darsna Halt</t>
  </si>
  <si>
    <t>Darsna  Junction</t>
  </si>
  <si>
    <t>Darsna</t>
  </si>
  <si>
    <t>Joyrampur</t>
  </si>
  <si>
    <t>Chuadanga</t>
  </si>
  <si>
    <t>Mominpur</t>
  </si>
  <si>
    <t>Munshiganj</t>
  </si>
  <si>
    <t>Alamdanga</t>
  </si>
  <si>
    <t>Halsa</t>
  </si>
  <si>
    <t>Poradah</t>
  </si>
  <si>
    <t>Jagoti</t>
  </si>
  <si>
    <t>Kustia</t>
  </si>
  <si>
    <t>Kustia Court</t>
  </si>
  <si>
    <t>Charaikoal</t>
  </si>
  <si>
    <t>Kumarkhali</t>
  </si>
  <si>
    <t>Khoksha</t>
  </si>
  <si>
    <t>Machpara</t>
  </si>
  <si>
    <t>Pangsha</t>
  </si>
  <si>
    <t>Kalukhali</t>
  </si>
  <si>
    <t>Bahorpur</t>
  </si>
  <si>
    <t>Naliagram</t>
  </si>
  <si>
    <t>Madhukhali</t>
  </si>
  <si>
    <t>Satoir</t>
  </si>
  <si>
    <t>Boalmari</t>
  </si>
  <si>
    <t>Sohosrail</t>
  </si>
  <si>
    <t>Bhatiaparaghat</t>
  </si>
  <si>
    <t>Chapta</t>
  </si>
  <si>
    <t>Choto Bahirbagh</t>
  </si>
  <si>
    <t>Chandra Dighalia</t>
  </si>
  <si>
    <t>Gopalganj</t>
  </si>
  <si>
    <t>Khatra</t>
  </si>
  <si>
    <t>Gobra</t>
  </si>
  <si>
    <t>Belgasi</t>
  </si>
  <si>
    <t>Rajbari</t>
  </si>
  <si>
    <t>Pachuria</t>
  </si>
  <si>
    <t>Goalanda Bazaar</t>
  </si>
  <si>
    <t>Goalanda Ghat</t>
  </si>
  <si>
    <t>Khankhanapur</t>
  </si>
  <si>
    <t>Amirabad</t>
  </si>
  <si>
    <t>Faridpur</t>
  </si>
  <si>
    <t>Talma</t>
  </si>
  <si>
    <t>Pukuria</t>
  </si>
  <si>
    <t>Bhanga</t>
  </si>
  <si>
    <t>Poradah Jn</t>
  </si>
  <si>
    <t>Mirpur</t>
  </si>
  <si>
    <t>Bheramara</t>
  </si>
  <si>
    <t>Paksey</t>
  </si>
  <si>
    <t>Iswardi Jn</t>
  </si>
  <si>
    <t>Majhgram</t>
  </si>
  <si>
    <t>Dashuria</t>
  </si>
  <si>
    <t>Tebunia</t>
  </si>
  <si>
    <t>Pabna</t>
  </si>
  <si>
    <t>Dublia</t>
  </si>
  <si>
    <t>Tatibandha</t>
  </si>
  <si>
    <t>Kashinathpur</t>
  </si>
  <si>
    <t>Dhalarchar</t>
  </si>
  <si>
    <t>Azimnagar</t>
  </si>
  <si>
    <t>Abdulpur</t>
  </si>
  <si>
    <t>Abdulpur Jn</t>
  </si>
  <si>
    <t>Malonchi</t>
  </si>
  <si>
    <t>Yasinpur</t>
  </si>
  <si>
    <t>Natore</t>
  </si>
  <si>
    <t>Basudebpur</t>
  </si>
  <si>
    <t>Madhnagar</t>
  </si>
  <si>
    <t>Atrai</t>
  </si>
  <si>
    <t>Shahagola</t>
  </si>
  <si>
    <t>Raninagar</t>
  </si>
  <si>
    <t>Santahar goods</t>
  </si>
  <si>
    <t>Santahar</t>
  </si>
  <si>
    <t>Tilokpur</t>
  </si>
  <si>
    <t>Akkelpur</t>
  </si>
  <si>
    <t>Jamalgonj</t>
  </si>
  <si>
    <t>Joypurhat</t>
  </si>
  <si>
    <t>Pachbibi</t>
  </si>
  <si>
    <t>Hili</t>
  </si>
  <si>
    <t>Birampur</t>
  </si>
  <si>
    <t>Phulbari</t>
  </si>
  <si>
    <t>Bhabanipur</t>
  </si>
  <si>
    <t>Parbatipur</t>
  </si>
  <si>
    <t>Saidpur</t>
  </si>
  <si>
    <t>Darwani</t>
  </si>
  <si>
    <t>Nilphamari</t>
  </si>
  <si>
    <t>Domar</t>
  </si>
  <si>
    <t>Mirzaganj</t>
  </si>
  <si>
    <t>Chilahati</t>
  </si>
  <si>
    <t>Chapainwabganj</t>
  </si>
  <si>
    <t>Amnura Jn</t>
  </si>
  <si>
    <t>Amnura Bypass</t>
  </si>
  <si>
    <t>Nachole</t>
  </si>
  <si>
    <t>Rohonpur</t>
  </si>
  <si>
    <t>Kakonhat</t>
  </si>
  <si>
    <t>Sitlai</t>
  </si>
  <si>
    <t>Rajshahi</t>
  </si>
  <si>
    <t>Harian</t>
  </si>
  <si>
    <t>Sardaho road</t>
  </si>
  <si>
    <t>Nandangasi</t>
  </si>
  <si>
    <t>Arani</t>
  </si>
  <si>
    <t>Iswardi bypass</t>
  </si>
  <si>
    <t>Muladuli</t>
  </si>
  <si>
    <t>Chatmohor</t>
  </si>
  <si>
    <t>Bhangura</t>
  </si>
  <si>
    <t>Sarotnagor</t>
  </si>
  <si>
    <t>Lahirimohonpur</t>
  </si>
  <si>
    <t>Ullapara</t>
  </si>
  <si>
    <t>Jamtail</t>
  </si>
  <si>
    <t>Sirajgonj  Raipur</t>
  </si>
  <si>
    <t>Sirajgonj Bazar</t>
  </si>
  <si>
    <t xml:space="preserve">Said Munsur Ali </t>
  </si>
  <si>
    <t>Soydabad</t>
  </si>
  <si>
    <t>08 Core</t>
  </si>
  <si>
    <t>Tangail</t>
  </si>
  <si>
    <t>Mohera</t>
  </si>
  <si>
    <t>Mirzapur</t>
  </si>
  <si>
    <t>Hightech City</t>
  </si>
  <si>
    <t>Mouchak</t>
  </si>
  <si>
    <t>Joydevpur</t>
  </si>
  <si>
    <t>Lalmonirhat</t>
  </si>
  <si>
    <t>25.911 /</t>
  </si>
  <si>
    <t>Mohendraanagor</t>
  </si>
  <si>
    <t>25.874 /</t>
  </si>
  <si>
    <t>Tista</t>
  </si>
  <si>
    <t>25.808 /</t>
  </si>
  <si>
    <t>Kaunia</t>
  </si>
  <si>
    <t>25.778 /</t>
  </si>
  <si>
    <t>Pirgacha</t>
  </si>
  <si>
    <t>25.661 /</t>
  </si>
  <si>
    <t>Bhamondanga</t>
  </si>
  <si>
    <t>25.532 /</t>
  </si>
  <si>
    <t>Kamarpara</t>
  </si>
  <si>
    <t>25.439 /</t>
  </si>
  <si>
    <t>Gaibandha</t>
  </si>
  <si>
    <t>25.332 /</t>
  </si>
  <si>
    <t>Badiakhali</t>
  </si>
  <si>
    <t>25.235 /</t>
  </si>
  <si>
    <t>Bonarpara</t>
  </si>
  <si>
    <t>25.164 /</t>
  </si>
  <si>
    <t>Mahimagonj</t>
  </si>
  <si>
    <t>25.104 /</t>
  </si>
  <si>
    <t>32 Core</t>
  </si>
  <si>
    <t>Sonatola</t>
  </si>
  <si>
    <t>25.044 /</t>
  </si>
  <si>
    <t>Valurpara</t>
  </si>
  <si>
    <t>25.001 /</t>
  </si>
  <si>
    <t>Sukanpukur</t>
  </si>
  <si>
    <t>24.928 /</t>
  </si>
  <si>
    <t>Gabtoli</t>
  </si>
  <si>
    <t>24.882 /</t>
  </si>
  <si>
    <t>Bogra</t>
  </si>
  <si>
    <t>24.848 /</t>
  </si>
  <si>
    <t>24848 /</t>
  </si>
  <si>
    <t>Kahaloo</t>
  </si>
  <si>
    <t>24.860 /</t>
  </si>
  <si>
    <t>32Core</t>
  </si>
  <si>
    <t>Talora</t>
  </si>
  <si>
    <t>24.824 /</t>
  </si>
  <si>
    <t>Altafmagor</t>
  </si>
  <si>
    <t>24.818 /</t>
  </si>
  <si>
    <t>Adamdhighi</t>
  </si>
  <si>
    <t>24.816 /</t>
  </si>
  <si>
    <t>24.805 /</t>
  </si>
  <si>
    <t>Mirbag</t>
  </si>
  <si>
    <t>25.764 /</t>
  </si>
  <si>
    <t>Rangpur</t>
  </si>
  <si>
    <t>25.728 /</t>
  </si>
  <si>
    <t>Shampur</t>
  </si>
  <si>
    <t>25.693 /</t>
  </si>
  <si>
    <t>Bodorgonj</t>
  </si>
  <si>
    <t>25.672 /</t>
  </si>
  <si>
    <t>Kholahati</t>
  </si>
  <si>
    <t>25.655 /</t>
  </si>
  <si>
    <t>Parbotipur</t>
  </si>
  <si>
    <t>25.654 /</t>
  </si>
  <si>
    <t>Chirirdandor</t>
  </si>
  <si>
    <t>25.645 /</t>
  </si>
  <si>
    <t>Dinajpur</t>
  </si>
  <si>
    <t>25.625 /</t>
  </si>
  <si>
    <t>Kanchan</t>
  </si>
  <si>
    <t>25.622 /</t>
  </si>
  <si>
    <t>Birol</t>
  </si>
  <si>
    <t>25.635 /</t>
  </si>
  <si>
    <t>Mongolpur</t>
  </si>
  <si>
    <t>25.714 /</t>
  </si>
  <si>
    <t>Setabgonj</t>
  </si>
  <si>
    <t>25.798 /</t>
  </si>
  <si>
    <t>pirgonj</t>
  </si>
  <si>
    <t>25.860 /</t>
  </si>
  <si>
    <t>Pirgonj</t>
  </si>
  <si>
    <t>Vomradaha</t>
  </si>
  <si>
    <t>25.930 /</t>
  </si>
  <si>
    <t>Shipgonj</t>
  </si>
  <si>
    <t>25.999 /</t>
  </si>
  <si>
    <t>Thakurgoan</t>
  </si>
  <si>
    <t>26.039 /</t>
  </si>
  <si>
    <t>Ruhia</t>
  </si>
  <si>
    <t>26.168 /</t>
  </si>
  <si>
    <t>Kismot</t>
  </si>
  <si>
    <t>26.222 /</t>
  </si>
  <si>
    <t>Ponchagar</t>
  </si>
  <si>
    <t>26.326 /</t>
  </si>
  <si>
    <t>Aditmari</t>
  </si>
  <si>
    <t>25.924 /</t>
  </si>
  <si>
    <t>Kakena</t>
  </si>
  <si>
    <t>25.955 /</t>
  </si>
  <si>
    <t>Voatmary</t>
  </si>
  <si>
    <t>26.026 /</t>
  </si>
  <si>
    <t>Hatibandha</t>
  </si>
  <si>
    <t>26.128 /</t>
  </si>
  <si>
    <t>Boura</t>
  </si>
  <si>
    <t>26.250 /</t>
  </si>
  <si>
    <t>Pategaram</t>
  </si>
  <si>
    <t>26.343 /</t>
  </si>
  <si>
    <t>Burimary</t>
  </si>
  <si>
    <t>26.396 /</t>
  </si>
  <si>
    <t>Rajahat</t>
  </si>
  <si>
    <t>25.797 /</t>
  </si>
  <si>
    <t>Kurigram</t>
  </si>
  <si>
    <t>25.807 /</t>
  </si>
  <si>
    <t>Ulipur</t>
  </si>
  <si>
    <t>25.656 /</t>
  </si>
  <si>
    <t>Ramnabazar</t>
  </si>
  <si>
    <t>25.579 /</t>
  </si>
  <si>
    <t>Chattogram-Feni</t>
  </si>
  <si>
    <t>Laksam-Feni</t>
  </si>
  <si>
    <t>Laksam-Akaura</t>
  </si>
  <si>
    <t>Akaura-Bbaria-Bhairab Bazar-Narshindi-Tongi</t>
  </si>
  <si>
    <t>Parbatipur-Dinajpur</t>
  </si>
  <si>
    <t>Parbatipur-Rangpur-Kaunia-Lalmonirhat</t>
  </si>
  <si>
    <t>Shantahar-Bogura-Bonarpara</t>
  </si>
  <si>
    <t>Bonarapara-Gaibandha-Kaunia</t>
  </si>
  <si>
    <t>Laksam-Chadpur</t>
  </si>
  <si>
    <t>Chattogram-Sholosahar-Dohazari</t>
  </si>
  <si>
    <t>Laksam-Noakhali</t>
  </si>
  <si>
    <t>Rajshahi-Amnura-Chapainabaganj</t>
  </si>
  <si>
    <t>Dinajpur-Panchagarh</t>
  </si>
  <si>
    <t>Akhaura-Shaestagongj</t>
  </si>
  <si>
    <t>Shaestagongj-Kulaura</t>
  </si>
  <si>
    <t>Kulaura-Sylhet</t>
  </si>
  <si>
    <t>Chattogram Junction Station - New Station</t>
  </si>
  <si>
    <t>Jashore-Benapole</t>
  </si>
  <si>
    <t>Summit Communication Limited</t>
  </si>
  <si>
    <t>Bahon Limited</t>
  </si>
  <si>
    <t>Bharab bazar-Kishoreganj</t>
  </si>
  <si>
    <t xml:space="preserve"> Kishoreganj-Gouripur-Mymensing</t>
  </si>
  <si>
    <t>Mymensing-Jamalpur-Sarishabari</t>
  </si>
  <si>
    <t>Sirajganj-Ullaprara-Ishurdi</t>
  </si>
  <si>
    <t>Uthly- Jashore</t>
  </si>
  <si>
    <t>Poradah-Kustia-Rajbari</t>
  </si>
  <si>
    <t>Sharishabari-Bangabandhu setu east-</t>
  </si>
  <si>
    <t>Rajbari-Pachuria-Faridpur-Bhanga</t>
  </si>
  <si>
    <t>Ishurdi -Darsana-Uthly</t>
  </si>
  <si>
    <t>Joydevpur-Tongi-Dhaka</t>
  </si>
  <si>
    <t>Railway</t>
  </si>
  <si>
    <t>Akaura-Bbaria-Bhariv-Narshingdi-Tongi</t>
  </si>
  <si>
    <t>Fiber @ Home Ltd</t>
  </si>
  <si>
    <t>Akhaura-Shaestagonj</t>
  </si>
  <si>
    <t>Shaestagonj-Kulaura</t>
  </si>
  <si>
    <t>Ahaura-B.Baria-Bhairab Bazar-Narashingdi-Tongi</t>
  </si>
  <si>
    <t>Shantahar-Bogra-Bonarpara</t>
  </si>
  <si>
    <t>Bonarpara-Gaibandha-Kaunia</t>
  </si>
  <si>
    <t>Banglalink Digital Communication Ltd</t>
  </si>
  <si>
    <t>Laksham-Noakhali</t>
  </si>
  <si>
    <t>Chattogram-Dohazari</t>
  </si>
  <si>
    <t>Sholoshara-Nazirhat</t>
  </si>
  <si>
    <t xml:space="preserve"> Kalukhali-Bhatiapara</t>
  </si>
  <si>
    <t>Laksam-Chattogram</t>
  </si>
  <si>
    <t>Robi Axiata PLC</t>
  </si>
  <si>
    <t>Shaestagonj-Kulaura-Sylhet-Chatak Bazar</t>
  </si>
  <si>
    <t>Akhaura-B.Baria-Bhairab Bazar-Narsingdi-Tongi</t>
  </si>
  <si>
    <t>Bhairab Bazar-Kishoragonj-Kishoragonj-Gouripur-Mymensingh</t>
  </si>
  <si>
    <t>Mymensingh-Goforgaon-Joydebpur</t>
  </si>
  <si>
    <t>Mymensingh-Jamalpur-Sorishabari, Jamalpur-Dewangonj Bazar</t>
  </si>
  <si>
    <t>Joydebpur-Tongi-Dhaka</t>
  </si>
  <si>
    <t>Sirajgonj-Ullapara-Ishwardi</t>
  </si>
  <si>
    <t>Ishwardi-Paksey-Poradah-Chuadanga-Utholy</t>
  </si>
  <si>
    <t>Utholy-Jashore--Khulna</t>
  </si>
  <si>
    <t>Poradaha-Kustia-Rajbari</t>
  </si>
  <si>
    <t>Ishwardi-Abdulpur-Rajshahi</t>
  </si>
  <si>
    <t>Abdulpur-Natore-Santahar</t>
  </si>
  <si>
    <t>Santahar-Parbotipur- Saidpur</t>
  </si>
  <si>
    <t>Parbotipur-Dinajpur</t>
  </si>
  <si>
    <t>Parbotipur-Rangpur-Kaunia-Lalmonirhat</t>
  </si>
  <si>
    <t>Santahar-Bogra-Bonarpara--Gaibandha-Kaunia</t>
  </si>
  <si>
    <t>Majhgram-Pabna</t>
  </si>
  <si>
    <t>Kashiani-Gopalgonj-Gobra</t>
  </si>
  <si>
    <t>Laksham-Chandpur</t>
  </si>
  <si>
    <t>Sharishabari-Bangabandhu Setu East</t>
  </si>
  <si>
    <t>Dinajpur-Pnnchagar</t>
  </si>
  <si>
    <t>Tista-Ramnabazar</t>
  </si>
  <si>
    <t>Grameenphone Limited</t>
  </si>
  <si>
    <t>Dhaka Division</t>
  </si>
  <si>
    <t>operator_type</t>
  </si>
  <si>
    <t>operator_name</t>
  </si>
  <si>
    <t>fiber_length</t>
  </si>
  <si>
    <t>no_of_core</t>
  </si>
  <si>
    <t>point_a_division</t>
  </si>
  <si>
    <t>point_a_district</t>
  </si>
  <si>
    <t>point_a_thana</t>
  </si>
  <si>
    <t>point_a_address</t>
  </si>
  <si>
    <t>point_a_latitude</t>
  </si>
  <si>
    <t>point_a_longitude</t>
  </si>
  <si>
    <t>point_b_division</t>
  </si>
  <si>
    <t>point_b_district</t>
  </si>
  <si>
    <t>point_b_thana</t>
  </si>
  <si>
    <t>point_b_address</t>
  </si>
  <si>
    <t>point_b_latitude</t>
  </si>
  <si>
    <t>point_b_longitude</t>
  </si>
  <si>
    <t>remarks</t>
  </si>
  <si>
    <t>MNO</t>
  </si>
  <si>
    <t>Robi Axiata Limited</t>
  </si>
  <si>
    <t>Kaunia Railway Station, Rangpur</t>
  </si>
  <si>
    <t>Panchagarh</t>
  </si>
  <si>
    <t>Panchagarh Sadar</t>
  </si>
  <si>
    <t>Panchagar Railway Station, Panchagar</t>
  </si>
  <si>
    <t>Kaunia-Panchagarh</t>
  </si>
  <si>
    <t>Lalmonirhat Sadar</t>
  </si>
  <si>
    <t>Lalmonirhat Railway Station, Lalmonirhat</t>
  </si>
  <si>
    <t>Bogura</t>
  </si>
  <si>
    <t>Adamdighi</t>
  </si>
  <si>
    <t>Santahar Railway Station, Bogura</t>
  </si>
  <si>
    <t>Lalmonirhat-Santahar</t>
  </si>
  <si>
    <t>Tista Railway Station, Lalmonirhat</t>
  </si>
  <si>
    <t>Chilmari</t>
  </si>
  <si>
    <t>Ramna bazar Railway Station,Kurigram</t>
  </si>
  <si>
    <t>NTTN</t>
  </si>
  <si>
    <t>Summit Communications Limited</t>
  </si>
  <si>
    <t>Banglalink Digital Communications Limited</t>
  </si>
  <si>
    <t>Kaunia-Santahar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</si>
</sst>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0.0000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4" fillId="4" borderId="1" xfId="0" quotePrefix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4" borderId="5" xfId="0" applyFont="1" applyFill="1" applyBorder="1"/>
    <xf numFmtId="0" fontId="2" fillId="4" borderId="6" xfId="0" applyFont="1" applyFill="1" applyBorder="1"/>
    <xf numFmtId="0" fontId="7" fillId="4" borderId="7" xfId="0" applyFont="1" applyFill="1" applyBorder="1"/>
    <xf numFmtId="0" fontId="2" fillId="4" borderId="8" xfId="0" applyFont="1" applyFill="1" applyBorder="1"/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top"/>
    </xf>
    <xf numFmtId="0" fontId="0" fillId="0" borderId="2" xfId="0" applyBorder="1"/>
    <xf numFmtId="0" fontId="0" fillId="0" borderId="1" xfId="0" applyFill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64" fontId="0" fillId="0" borderId="1" xfId="1" applyFont="1" applyBorder="1" applyAlignment="1">
      <alignment horizontal="center"/>
    </xf>
    <xf numFmtId="0" fontId="1" fillId="0" borderId="1" xfId="0" applyFont="1" applyBorder="1"/>
    <xf numFmtId="0" fontId="0" fillId="0" borderId="1" xfId="0" applyFill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vertical="center" wrapText="1"/>
    </xf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 wrapText="1"/>
    </xf>
    <xf numFmtId="0" fontId="17" fillId="0" borderId="1" xfId="0" applyFont="1" applyFill="1" applyBorder="1" applyAlignment="1">
      <alignment horizontal="center" vertical="center" wrapText="1"/>
    </xf>
    <xf numFmtId="165" fontId="14" fillId="0" borderId="1" xfId="0" applyNumberFormat="1" applyFont="1" applyBorder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iber@Home.,%20Summit%20Communications%20ltd,Bangladesh%20Railway,et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95"/>
  <sheetViews>
    <sheetView zoomScale="70" zoomScaleNormal="70" workbookViewId="0">
      <selection activeCell="E15" sqref="E15"/>
    </sheetView>
  </sheetViews>
  <sheetFormatPr defaultRowHeight="14.5" x14ac:dyDescent="0.35"/>
  <cols>
    <col min="1" max="1" width="4.6328125" customWidth="1"/>
    <col min="2" max="2" width="14.81640625" bestFit="1" customWidth="1"/>
    <col min="3" max="3" width="21.90625" customWidth="1"/>
    <col min="4" max="4" width="23.1796875" customWidth="1"/>
    <col min="5" max="5" width="20.81640625" customWidth="1"/>
    <col min="6" max="6" width="32.81640625" customWidth="1"/>
    <col min="7" max="7" width="20" customWidth="1"/>
    <col min="8" max="9" width="19.1796875" customWidth="1"/>
    <col min="10" max="10" width="21" customWidth="1"/>
    <col min="11" max="11" width="25.81640625" customWidth="1"/>
  </cols>
  <sheetData>
    <row r="2" spans="1:11" x14ac:dyDescent="0.35">
      <c r="A2" s="82" t="s">
        <v>99</v>
      </c>
      <c r="B2" s="82"/>
      <c r="C2" s="82"/>
      <c r="D2" s="82"/>
      <c r="E2" s="82"/>
      <c r="F2" s="82"/>
      <c r="G2" s="82"/>
      <c r="H2" s="82"/>
      <c r="I2" s="82"/>
    </row>
    <row r="4" spans="1:11" x14ac:dyDescent="0.35">
      <c r="A4" s="4" t="s">
        <v>10</v>
      </c>
      <c r="B4" s="4" t="s">
        <v>13</v>
      </c>
      <c r="C4" s="4" t="s">
        <v>11</v>
      </c>
      <c r="D4" s="4" t="s">
        <v>12</v>
      </c>
      <c r="E4" s="4" t="s">
        <v>14</v>
      </c>
      <c r="F4" s="4" t="s">
        <v>16</v>
      </c>
      <c r="G4" s="4" t="s">
        <v>15</v>
      </c>
      <c r="H4" s="4" t="s">
        <v>17</v>
      </c>
      <c r="I4" s="4" t="s">
        <v>18</v>
      </c>
      <c r="J4" s="4" t="s">
        <v>19</v>
      </c>
      <c r="K4" s="4" t="s">
        <v>20</v>
      </c>
    </row>
    <row r="5" spans="1:11" ht="18.5" x14ac:dyDescent="0.35">
      <c r="A5" s="19" t="s">
        <v>49</v>
      </c>
      <c r="B5" s="26" t="s">
        <v>72</v>
      </c>
      <c r="C5" s="10" t="s">
        <v>73</v>
      </c>
      <c r="D5" s="10" t="s">
        <v>74</v>
      </c>
      <c r="E5" s="10" t="s">
        <v>48</v>
      </c>
      <c r="F5" s="10" t="s">
        <v>51</v>
      </c>
      <c r="G5" s="10" t="s">
        <v>27</v>
      </c>
      <c r="H5" s="10" t="s">
        <v>26</v>
      </c>
      <c r="I5" s="14" t="s">
        <v>5</v>
      </c>
      <c r="J5" s="14" t="s">
        <v>6</v>
      </c>
      <c r="K5" s="14" t="s">
        <v>65</v>
      </c>
    </row>
    <row r="6" spans="1:11" x14ac:dyDescent="0.35">
      <c r="A6" s="37"/>
      <c r="B6" s="37"/>
      <c r="C6" s="34">
        <v>2023</v>
      </c>
      <c r="D6" s="34">
        <v>3</v>
      </c>
      <c r="E6" s="34">
        <v>1</v>
      </c>
      <c r="F6" s="34" t="s">
        <v>649</v>
      </c>
      <c r="G6" s="34" t="s">
        <v>112</v>
      </c>
      <c r="H6" s="34"/>
      <c r="I6" s="42"/>
      <c r="J6" s="37"/>
      <c r="K6" s="37"/>
    </row>
    <row r="7" spans="1:11" x14ac:dyDescent="0.35">
      <c r="A7" s="60"/>
      <c r="B7" s="60"/>
      <c r="C7" s="34">
        <v>2023</v>
      </c>
      <c r="D7" s="34"/>
      <c r="E7" s="34">
        <v>1</v>
      </c>
      <c r="F7" s="34" t="s">
        <v>649</v>
      </c>
      <c r="G7" s="34" t="s">
        <v>112</v>
      </c>
      <c r="H7" s="34"/>
      <c r="I7" s="42"/>
      <c r="J7" s="37"/>
      <c r="K7" s="37"/>
    </row>
    <row r="8" spans="1:11" x14ac:dyDescent="0.35">
      <c r="A8" s="37"/>
      <c r="B8" s="37"/>
      <c r="C8" s="34">
        <v>2023</v>
      </c>
      <c r="D8" s="34">
        <v>3</v>
      </c>
      <c r="E8" s="34">
        <v>1</v>
      </c>
      <c r="F8" s="34" t="s">
        <v>649</v>
      </c>
      <c r="G8" s="34" t="s">
        <v>112</v>
      </c>
      <c r="H8" s="34"/>
      <c r="I8" s="42"/>
      <c r="J8" s="37"/>
      <c r="K8" s="37"/>
    </row>
    <row r="9" spans="1:11" x14ac:dyDescent="0.35">
      <c r="A9" s="37"/>
      <c r="B9" s="37"/>
      <c r="C9" s="34">
        <v>2023</v>
      </c>
      <c r="D9" s="34">
        <v>3</v>
      </c>
      <c r="E9" s="34">
        <v>1</v>
      </c>
      <c r="F9" s="34" t="s">
        <v>649</v>
      </c>
      <c r="G9" s="34" t="s">
        <v>112</v>
      </c>
      <c r="H9" s="34"/>
      <c r="I9" s="42"/>
      <c r="J9" s="37"/>
      <c r="K9" s="37"/>
    </row>
    <row r="10" spans="1:11" x14ac:dyDescent="0.35">
      <c r="A10" s="37"/>
      <c r="B10" s="37"/>
      <c r="C10" s="34">
        <v>2023</v>
      </c>
      <c r="D10" s="34">
        <v>3</v>
      </c>
      <c r="E10" s="34">
        <v>1</v>
      </c>
      <c r="F10" s="34" t="s">
        <v>649</v>
      </c>
      <c r="G10" s="34" t="s">
        <v>112</v>
      </c>
      <c r="H10" s="34"/>
      <c r="I10" s="42"/>
      <c r="J10" s="37"/>
      <c r="K10" s="37"/>
    </row>
    <row r="11" spans="1:11" x14ac:dyDescent="0.35">
      <c r="A11" s="37"/>
      <c r="B11" s="39"/>
      <c r="C11" s="34">
        <v>2023</v>
      </c>
      <c r="D11" s="34">
        <v>3</v>
      </c>
      <c r="E11" s="34">
        <v>1</v>
      </c>
      <c r="F11" s="34" t="s">
        <v>649</v>
      </c>
      <c r="G11" s="34" t="s">
        <v>112</v>
      </c>
      <c r="H11" s="34"/>
      <c r="I11" s="42"/>
      <c r="J11" s="37"/>
      <c r="K11" s="37"/>
    </row>
    <row r="12" spans="1:11" x14ac:dyDescent="0.35">
      <c r="A12" s="37"/>
      <c r="B12" s="37"/>
      <c r="C12" s="34">
        <v>2023</v>
      </c>
      <c r="D12" s="34">
        <v>3</v>
      </c>
      <c r="E12" s="34">
        <v>1</v>
      </c>
      <c r="F12" s="34" t="s">
        <v>649</v>
      </c>
      <c r="G12" s="34" t="s">
        <v>112</v>
      </c>
      <c r="H12" s="34"/>
      <c r="I12" s="42"/>
      <c r="J12" s="37"/>
      <c r="K12" s="37"/>
    </row>
    <row r="13" spans="1:11" x14ac:dyDescent="0.35">
      <c r="A13" s="37"/>
      <c r="B13" s="37"/>
      <c r="C13" s="34">
        <v>2023</v>
      </c>
      <c r="D13" s="34">
        <v>3</v>
      </c>
      <c r="E13" s="34">
        <v>1</v>
      </c>
      <c r="F13" s="34" t="s">
        <v>649</v>
      </c>
      <c r="G13" s="34" t="s">
        <v>112</v>
      </c>
      <c r="H13" s="34"/>
      <c r="I13" s="42"/>
      <c r="J13" s="37"/>
      <c r="K13" s="37"/>
    </row>
    <row r="14" spans="1:11" x14ac:dyDescent="0.35">
      <c r="A14" s="37"/>
      <c r="B14" s="37"/>
      <c r="C14" s="34">
        <v>2023</v>
      </c>
      <c r="D14" s="34">
        <v>3</v>
      </c>
      <c r="E14" s="34">
        <v>1</v>
      </c>
      <c r="F14" s="34" t="s">
        <v>649</v>
      </c>
      <c r="G14" s="34" t="s">
        <v>112</v>
      </c>
      <c r="H14" s="34"/>
      <c r="I14" s="42"/>
      <c r="J14" s="37"/>
      <c r="K14" s="37"/>
    </row>
    <row r="15" spans="1:11" x14ac:dyDescent="0.35">
      <c r="A15" s="37"/>
      <c r="B15" s="37"/>
      <c r="C15" s="34">
        <v>2023</v>
      </c>
      <c r="D15" s="34">
        <v>3</v>
      </c>
      <c r="E15" s="34">
        <v>1</v>
      </c>
      <c r="F15" s="34" t="s">
        <v>649</v>
      </c>
      <c r="G15" s="34" t="s">
        <v>112</v>
      </c>
      <c r="H15" s="34"/>
      <c r="I15" s="42"/>
      <c r="J15" s="37"/>
      <c r="K15" s="37"/>
    </row>
    <row r="16" spans="1:11" x14ac:dyDescent="0.35">
      <c r="A16" s="37"/>
      <c r="B16" s="37"/>
      <c r="C16" s="34">
        <v>2023</v>
      </c>
      <c r="D16" s="34">
        <v>3</v>
      </c>
      <c r="E16" s="34">
        <v>1</v>
      </c>
      <c r="F16" s="34" t="s">
        <v>649</v>
      </c>
      <c r="G16" s="34" t="s">
        <v>112</v>
      </c>
      <c r="H16" s="34"/>
      <c r="I16" s="42"/>
      <c r="J16" s="37"/>
      <c r="K16" s="37"/>
    </row>
    <row r="17" spans="1:11" x14ac:dyDescent="0.35">
      <c r="A17" s="37"/>
      <c r="B17" s="37"/>
      <c r="C17" s="34">
        <v>2023</v>
      </c>
      <c r="D17" s="34">
        <v>3</v>
      </c>
      <c r="E17" s="34">
        <v>1</v>
      </c>
      <c r="F17" s="34" t="s">
        <v>649</v>
      </c>
      <c r="G17" s="34" t="s">
        <v>112</v>
      </c>
      <c r="H17" s="34"/>
      <c r="I17" s="42"/>
      <c r="J17" s="37"/>
      <c r="K17" s="37"/>
    </row>
    <row r="18" spans="1:11" x14ac:dyDescent="0.35">
      <c r="A18" s="37"/>
      <c r="B18" s="37"/>
      <c r="C18" s="34">
        <v>2023</v>
      </c>
      <c r="D18" s="34">
        <v>3</v>
      </c>
      <c r="E18" s="34">
        <v>1</v>
      </c>
      <c r="F18" s="34" t="s">
        <v>649</v>
      </c>
      <c r="G18" s="34" t="s">
        <v>112</v>
      </c>
      <c r="H18" s="34"/>
      <c r="I18" s="42"/>
      <c r="J18" s="37"/>
      <c r="K18" s="37"/>
    </row>
    <row r="19" spans="1:11" x14ac:dyDescent="0.35">
      <c r="A19" s="37"/>
      <c r="B19" s="37"/>
      <c r="C19" s="34">
        <v>2023</v>
      </c>
      <c r="D19" s="34">
        <v>3</v>
      </c>
      <c r="E19" s="34">
        <v>1</v>
      </c>
      <c r="F19" s="34" t="s">
        <v>649</v>
      </c>
      <c r="G19" s="34" t="s">
        <v>112</v>
      </c>
      <c r="H19" s="34"/>
      <c r="I19" s="33"/>
      <c r="J19" s="37"/>
      <c r="K19" s="37"/>
    </row>
    <row r="20" spans="1:11" x14ac:dyDescent="0.35">
      <c r="A20" s="37"/>
      <c r="B20" s="37"/>
      <c r="C20" s="34">
        <v>2023</v>
      </c>
      <c r="D20" s="34">
        <v>3</v>
      </c>
      <c r="E20" s="34">
        <v>1</v>
      </c>
      <c r="F20" s="34" t="s">
        <v>649</v>
      </c>
      <c r="G20" s="34" t="s">
        <v>112</v>
      </c>
      <c r="H20" s="34"/>
      <c r="I20" s="33"/>
      <c r="J20" s="37"/>
      <c r="K20" s="37"/>
    </row>
    <row r="21" spans="1:11" x14ac:dyDescent="0.35">
      <c r="A21" s="37"/>
      <c r="B21" s="37"/>
      <c r="C21" s="34">
        <v>2023</v>
      </c>
      <c r="D21" s="34">
        <v>3</v>
      </c>
      <c r="E21" s="34">
        <v>1</v>
      </c>
      <c r="F21" s="34" t="s">
        <v>649</v>
      </c>
      <c r="G21" s="34" t="s">
        <v>112</v>
      </c>
      <c r="H21" s="34"/>
      <c r="I21" s="33"/>
      <c r="J21" s="37"/>
      <c r="K21" s="37"/>
    </row>
    <row r="22" spans="1:11" x14ac:dyDescent="0.35">
      <c r="A22" s="37"/>
      <c r="B22" s="37"/>
      <c r="C22" s="34">
        <v>2023</v>
      </c>
      <c r="D22" s="34">
        <v>3</v>
      </c>
      <c r="E22" s="34">
        <v>1</v>
      </c>
      <c r="F22" s="34" t="s">
        <v>649</v>
      </c>
      <c r="G22" s="34" t="s">
        <v>112</v>
      </c>
      <c r="H22" s="34"/>
      <c r="I22" s="33"/>
      <c r="J22" s="37"/>
      <c r="K22" s="37"/>
    </row>
    <row r="23" spans="1:11" x14ac:dyDescent="0.35">
      <c r="A23" s="37"/>
      <c r="B23" s="37"/>
      <c r="C23" s="34">
        <v>2023</v>
      </c>
      <c r="D23" s="34">
        <v>3</v>
      </c>
      <c r="E23" s="34">
        <v>1</v>
      </c>
      <c r="F23" s="34" t="s">
        <v>649</v>
      </c>
      <c r="G23" s="34" t="s">
        <v>112</v>
      </c>
      <c r="H23" s="34"/>
      <c r="I23" s="33"/>
      <c r="J23" s="37"/>
      <c r="K23" s="37"/>
    </row>
    <row r="24" spans="1:11" x14ac:dyDescent="0.35">
      <c r="A24" s="37"/>
      <c r="B24" s="37"/>
      <c r="C24" s="34">
        <v>2023</v>
      </c>
      <c r="D24" s="34">
        <v>8</v>
      </c>
      <c r="E24" s="34">
        <v>2</v>
      </c>
      <c r="F24" s="34" t="s">
        <v>650</v>
      </c>
      <c r="G24" s="34" t="s">
        <v>112</v>
      </c>
      <c r="H24" s="34"/>
      <c r="I24" s="43"/>
      <c r="J24" s="37"/>
      <c r="K24" s="37"/>
    </row>
    <row r="25" spans="1:11" x14ac:dyDescent="0.35">
      <c r="A25" s="37"/>
      <c r="B25" s="37"/>
      <c r="C25" s="34">
        <v>2023</v>
      </c>
      <c r="D25" s="34">
        <v>8</v>
      </c>
      <c r="E25" s="34">
        <v>2</v>
      </c>
      <c r="F25" s="34" t="s">
        <v>650</v>
      </c>
      <c r="G25" s="34" t="s">
        <v>112</v>
      </c>
      <c r="H25" s="34"/>
      <c r="I25" s="41"/>
      <c r="J25" s="37"/>
      <c r="K25" s="37"/>
    </row>
    <row r="26" spans="1:11" x14ac:dyDescent="0.35">
      <c r="A26" s="37"/>
      <c r="B26" s="37"/>
      <c r="C26" s="34">
        <v>2023</v>
      </c>
      <c r="D26" s="34">
        <v>8</v>
      </c>
      <c r="E26" s="34">
        <v>2</v>
      </c>
      <c r="F26" s="34" t="s">
        <v>650</v>
      </c>
      <c r="G26" s="34" t="s">
        <v>112</v>
      </c>
      <c r="H26" s="34"/>
      <c r="I26" s="41"/>
      <c r="J26" s="37"/>
      <c r="K26" s="37"/>
    </row>
    <row r="27" spans="1:11" x14ac:dyDescent="0.35">
      <c r="A27" s="37"/>
      <c r="B27" s="37"/>
      <c r="C27" s="34">
        <v>2023</v>
      </c>
      <c r="D27" s="34">
        <v>8</v>
      </c>
      <c r="E27" s="34">
        <v>2</v>
      </c>
      <c r="F27" s="34" t="s">
        <v>650</v>
      </c>
      <c r="G27" s="34" t="s">
        <v>112</v>
      </c>
      <c r="H27" s="34"/>
      <c r="I27" s="41"/>
      <c r="J27" s="37"/>
      <c r="K27" s="37"/>
    </row>
    <row r="28" spans="1:11" x14ac:dyDescent="0.35">
      <c r="A28" s="37"/>
      <c r="B28" s="37"/>
      <c r="C28" s="34">
        <v>2023</v>
      </c>
      <c r="D28" s="34">
        <v>8</v>
      </c>
      <c r="E28" s="34">
        <v>2</v>
      </c>
      <c r="F28" s="34" t="s">
        <v>650</v>
      </c>
      <c r="G28" s="34" t="s">
        <v>112</v>
      </c>
      <c r="H28" s="34"/>
      <c r="I28" s="41"/>
      <c r="J28" s="37"/>
      <c r="K28" s="37"/>
    </row>
    <row r="29" spans="1:11" x14ac:dyDescent="0.35">
      <c r="A29" s="37"/>
      <c r="B29" s="37"/>
      <c r="C29" s="34">
        <v>2023</v>
      </c>
      <c r="D29" s="34">
        <v>8</v>
      </c>
      <c r="E29" s="34">
        <v>2</v>
      </c>
      <c r="F29" s="34" t="s">
        <v>650</v>
      </c>
      <c r="G29" s="34" t="s">
        <v>112</v>
      </c>
      <c r="H29" s="34"/>
      <c r="I29" s="41"/>
      <c r="J29" s="37"/>
      <c r="K29" s="37"/>
    </row>
    <row r="30" spans="1:11" x14ac:dyDescent="0.35">
      <c r="A30" s="37"/>
      <c r="B30" s="37"/>
      <c r="C30" s="34">
        <v>2023</v>
      </c>
      <c r="D30" s="34">
        <v>8</v>
      </c>
      <c r="E30" s="34">
        <v>2</v>
      </c>
      <c r="F30" s="34" t="s">
        <v>650</v>
      </c>
      <c r="G30" s="34" t="s">
        <v>112</v>
      </c>
      <c r="H30" s="34"/>
      <c r="I30" s="44"/>
      <c r="J30" s="37"/>
      <c r="K30" s="37"/>
    </row>
    <row r="31" spans="1:11" x14ac:dyDescent="0.35">
      <c r="A31" s="37"/>
      <c r="B31" s="37"/>
      <c r="C31" s="34">
        <v>2023</v>
      </c>
      <c r="D31" s="34">
        <v>8</v>
      </c>
      <c r="E31" s="34">
        <v>2</v>
      </c>
      <c r="F31" s="34" t="s">
        <v>650</v>
      </c>
      <c r="G31" s="34" t="s">
        <v>112</v>
      </c>
      <c r="H31" s="34"/>
      <c r="I31" s="41"/>
      <c r="J31" s="37"/>
      <c r="K31" s="37"/>
    </row>
    <row r="32" spans="1:11" x14ac:dyDescent="0.35">
      <c r="A32" s="37"/>
      <c r="B32" s="37"/>
      <c r="C32" s="34">
        <v>2023</v>
      </c>
      <c r="D32" s="34">
        <v>8</v>
      </c>
      <c r="E32" s="34">
        <v>2</v>
      </c>
      <c r="F32" s="34" t="s">
        <v>650</v>
      </c>
      <c r="G32" s="34" t="s">
        <v>112</v>
      </c>
      <c r="H32" s="34"/>
      <c r="I32" s="41"/>
      <c r="J32" s="37"/>
      <c r="K32" s="37"/>
    </row>
    <row r="33" spans="1:11" x14ac:dyDescent="0.35">
      <c r="A33" s="37"/>
      <c r="B33" s="37"/>
      <c r="C33" s="34">
        <v>2023</v>
      </c>
      <c r="D33" s="34">
        <v>8</v>
      </c>
      <c r="E33" s="34">
        <v>2</v>
      </c>
      <c r="F33" s="34" t="s">
        <v>650</v>
      </c>
      <c r="G33" s="34" t="s">
        <v>112</v>
      </c>
      <c r="H33" s="34"/>
      <c r="I33" s="41"/>
      <c r="J33" s="37"/>
      <c r="K33" s="37"/>
    </row>
    <row r="34" spans="1:11" x14ac:dyDescent="0.35">
      <c r="A34" s="37"/>
      <c r="B34" s="37"/>
      <c r="C34" s="34">
        <v>2023</v>
      </c>
      <c r="D34" s="34">
        <v>8</v>
      </c>
      <c r="E34" s="34">
        <v>2</v>
      </c>
      <c r="F34" s="34" t="s">
        <v>650</v>
      </c>
      <c r="G34" s="34" t="s">
        <v>112</v>
      </c>
      <c r="H34" s="34"/>
      <c r="I34" s="41"/>
      <c r="J34" s="37"/>
      <c r="K34" s="37"/>
    </row>
    <row r="35" spans="1:11" x14ac:dyDescent="0.35">
      <c r="A35" s="37"/>
      <c r="B35" s="37"/>
      <c r="C35" s="34">
        <v>2023</v>
      </c>
      <c r="D35" s="34">
        <v>8</v>
      </c>
      <c r="E35" s="34">
        <v>2</v>
      </c>
      <c r="F35" s="34" t="s">
        <v>650</v>
      </c>
      <c r="G35" s="34" t="s">
        <v>112</v>
      </c>
      <c r="H35" s="34"/>
      <c r="I35" s="41"/>
      <c r="J35" s="37"/>
      <c r="K35" s="37"/>
    </row>
    <row r="36" spans="1:11" x14ac:dyDescent="0.35">
      <c r="A36" s="37"/>
      <c r="B36" s="37"/>
      <c r="C36" s="34">
        <v>2023</v>
      </c>
      <c r="D36" s="34">
        <v>8</v>
      </c>
      <c r="E36" s="34">
        <v>2</v>
      </c>
      <c r="F36" s="34" t="s">
        <v>650</v>
      </c>
      <c r="G36" s="34" t="s">
        <v>112</v>
      </c>
      <c r="H36" s="34"/>
      <c r="I36" s="41"/>
      <c r="J36" s="37"/>
      <c r="K36" s="37"/>
    </row>
    <row r="37" spans="1:11" x14ac:dyDescent="0.35">
      <c r="A37" s="37"/>
      <c r="B37" s="37"/>
      <c r="C37" s="34">
        <v>2023</v>
      </c>
      <c r="D37" s="34">
        <v>3</v>
      </c>
      <c r="E37" s="34">
        <v>3</v>
      </c>
      <c r="F37" s="34" t="s">
        <v>663</v>
      </c>
      <c r="G37" s="34" t="s">
        <v>112</v>
      </c>
      <c r="H37" s="34"/>
      <c r="I37" s="41"/>
      <c r="J37" s="37"/>
      <c r="K37" s="37"/>
    </row>
    <row r="38" spans="1:11" x14ac:dyDescent="0.35">
      <c r="A38" s="37"/>
      <c r="B38" s="37"/>
      <c r="C38" s="34">
        <v>2023</v>
      </c>
      <c r="D38" s="34">
        <v>3</v>
      </c>
      <c r="E38" s="34">
        <v>3</v>
      </c>
      <c r="F38" s="34" t="s">
        <v>663</v>
      </c>
      <c r="G38" s="34" t="s">
        <v>112</v>
      </c>
      <c r="H38" s="34"/>
      <c r="I38" s="41"/>
      <c r="J38" s="37"/>
      <c r="K38" s="37"/>
    </row>
    <row r="39" spans="1:11" x14ac:dyDescent="0.35">
      <c r="A39" s="37"/>
      <c r="B39" s="37"/>
      <c r="C39" s="34">
        <v>2023</v>
      </c>
      <c r="D39" s="34">
        <v>3</v>
      </c>
      <c r="E39" s="34">
        <v>3</v>
      </c>
      <c r="F39" s="34" t="s">
        <v>663</v>
      </c>
      <c r="G39" s="34" t="s">
        <v>112</v>
      </c>
      <c r="H39" s="34"/>
      <c r="I39" s="41"/>
      <c r="J39" s="37"/>
      <c r="K39" s="37"/>
    </row>
    <row r="40" spans="1:11" x14ac:dyDescent="0.35">
      <c r="A40" s="37"/>
      <c r="B40" s="37"/>
      <c r="C40" s="34">
        <v>2023</v>
      </c>
      <c r="D40" s="34">
        <v>10</v>
      </c>
      <c r="E40" s="34">
        <v>4</v>
      </c>
      <c r="F40" s="34" t="s">
        <v>669</v>
      </c>
      <c r="G40" s="34" t="s">
        <v>112</v>
      </c>
      <c r="H40" s="34"/>
      <c r="I40" s="41"/>
      <c r="J40" s="37"/>
      <c r="K40" s="37"/>
    </row>
    <row r="41" spans="1:11" x14ac:dyDescent="0.35">
      <c r="A41" s="37"/>
      <c r="B41" s="37"/>
      <c r="C41" s="34">
        <v>2023</v>
      </c>
      <c r="D41" s="34">
        <v>10</v>
      </c>
      <c r="E41" s="34">
        <v>4</v>
      </c>
      <c r="F41" s="34" t="s">
        <v>669</v>
      </c>
      <c r="G41" s="34" t="s">
        <v>112</v>
      </c>
      <c r="H41" s="34"/>
      <c r="I41" s="41"/>
      <c r="J41" s="37"/>
      <c r="K41" s="37"/>
    </row>
    <row r="42" spans="1:11" x14ac:dyDescent="0.35">
      <c r="A42" s="37"/>
      <c r="B42" s="37"/>
      <c r="C42" s="34">
        <v>2023</v>
      </c>
      <c r="D42" s="34">
        <v>10</v>
      </c>
      <c r="E42" s="34">
        <v>4</v>
      </c>
      <c r="F42" s="34" t="s">
        <v>669</v>
      </c>
      <c r="G42" s="34" t="s">
        <v>112</v>
      </c>
      <c r="H42" s="34"/>
      <c r="I42" s="41"/>
      <c r="J42" s="37"/>
      <c r="K42" s="37"/>
    </row>
    <row r="43" spans="1:11" x14ac:dyDescent="0.35">
      <c r="A43" s="37"/>
      <c r="B43" s="37"/>
      <c r="C43" s="34">
        <v>2023</v>
      </c>
      <c r="D43" s="34">
        <v>10</v>
      </c>
      <c r="E43" s="34">
        <v>4</v>
      </c>
      <c r="F43" s="34" t="s">
        <v>669</v>
      </c>
      <c r="G43" s="34" t="s">
        <v>112</v>
      </c>
      <c r="H43" s="34"/>
      <c r="I43" s="41"/>
      <c r="J43" s="37"/>
      <c r="K43" s="37"/>
    </row>
    <row r="44" spans="1:11" x14ac:dyDescent="0.35">
      <c r="A44" s="37"/>
      <c r="B44" s="37"/>
      <c r="C44" s="34">
        <v>2023</v>
      </c>
      <c r="D44" s="34">
        <v>10</v>
      </c>
      <c r="E44" s="34">
        <v>4</v>
      </c>
      <c r="F44" s="34" t="s">
        <v>669</v>
      </c>
      <c r="G44" s="34" t="s">
        <v>112</v>
      </c>
      <c r="H44" s="34"/>
      <c r="I44" s="43"/>
      <c r="J44" s="37"/>
      <c r="K44" s="37"/>
    </row>
    <row r="45" spans="1:11" x14ac:dyDescent="0.35">
      <c r="A45" s="37"/>
      <c r="B45" s="37"/>
      <c r="C45" s="34">
        <v>2023</v>
      </c>
      <c r="D45" s="34">
        <v>10</v>
      </c>
      <c r="E45" s="34">
        <v>4</v>
      </c>
      <c r="F45" s="34" t="s">
        <v>669</v>
      </c>
      <c r="G45" s="34" t="s">
        <v>112</v>
      </c>
      <c r="H45" s="34"/>
      <c r="I45" s="41"/>
      <c r="J45" s="37"/>
      <c r="K45" s="37"/>
    </row>
    <row r="46" spans="1:11" x14ac:dyDescent="0.35">
      <c r="A46" s="37"/>
      <c r="B46" s="37"/>
      <c r="C46" s="34">
        <v>2023</v>
      </c>
      <c r="D46" s="34">
        <v>10</v>
      </c>
      <c r="E46" s="34">
        <v>4</v>
      </c>
      <c r="F46" s="34" t="s">
        <v>669</v>
      </c>
      <c r="G46" s="34" t="s">
        <v>112</v>
      </c>
      <c r="H46" s="34"/>
      <c r="I46" s="41"/>
      <c r="J46" s="37"/>
      <c r="K46" s="37"/>
    </row>
    <row r="47" spans="1:11" x14ac:dyDescent="0.35">
      <c r="A47" s="37"/>
      <c r="B47" s="37"/>
      <c r="C47" s="38">
        <v>2023</v>
      </c>
      <c r="D47" s="38">
        <v>10</v>
      </c>
      <c r="E47" s="38">
        <v>4</v>
      </c>
      <c r="F47" s="38" t="s">
        <v>669</v>
      </c>
      <c r="G47" s="34" t="s">
        <v>112</v>
      </c>
      <c r="H47" s="34"/>
      <c r="I47" s="43"/>
      <c r="J47" s="37"/>
      <c r="K47" s="37"/>
    </row>
    <row r="48" spans="1:11" x14ac:dyDescent="0.35">
      <c r="A48" s="37"/>
      <c r="B48" s="37"/>
      <c r="C48" s="34">
        <v>2017</v>
      </c>
      <c r="D48" s="34">
        <v>8</v>
      </c>
      <c r="E48" s="34">
        <v>5</v>
      </c>
      <c r="F48" s="34" t="s">
        <v>675</v>
      </c>
      <c r="G48" s="34" t="s">
        <v>112</v>
      </c>
      <c r="H48" s="34"/>
      <c r="I48" s="49"/>
      <c r="J48" s="37"/>
      <c r="K48" s="37"/>
    </row>
    <row r="49" spans="1:11" x14ac:dyDescent="0.35">
      <c r="A49" s="37"/>
      <c r="B49" s="37"/>
      <c r="C49" s="34">
        <v>2017</v>
      </c>
      <c r="D49" s="34">
        <v>8</v>
      </c>
      <c r="E49" s="34">
        <v>5</v>
      </c>
      <c r="F49" s="34" t="s">
        <v>675</v>
      </c>
      <c r="G49" s="34" t="s">
        <v>112</v>
      </c>
      <c r="H49" s="34"/>
      <c r="I49" s="49"/>
      <c r="J49" s="37"/>
      <c r="K49" s="37"/>
    </row>
    <row r="50" spans="1:11" x14ac:dyDescent="0.35">
      <c r="A50" s="37"/>
      <c r="B50" s="37"/>
      <c r="C50" s="34">
        <v>2017</v>
      </c>
      <c r="D50" s="34">
        <v>8</v>
      </c>
      <c r="E50" s="34">
        <v>5</v>
      </c>
      <c r="F50" s="34" t="s">
        <v>675</v>
      </c>
      <c r="G50" s="34" t="s">
        <v>112</v>
      </c>
      <c r="H50" s="34"/>
      <c r="I50" s="49"/>
      <c r="J50" s="37"/>
      <c r="K50" s="37"/>
    </row>
    <row r="51" spans="1:11" x14ac:dyDescent="0.35">
      <c r="A51" s="37"/>
      <c r="B51" s="37"/>
      <c r="C51" s="34">
        <v>2017</v>
      </c>
      <c r="D51" s="34">
        <v>8</v>
      </c>
      <c r="E51" s="34">
        <v>5</v>
      </c>
      <c r="F51" s="34" t="s">
        <v>675</v>
      </c>
      <c r="G51" s="34" t="s">
        <v>112</v>
      </c>
      <c r="H51" s="34"/>
      <c r="I51" s="49"/>
      <c r="J51" s="37"/>
      <c r="K51" s="37"/>
    </row>
    <row r="52" spans="1:11" x14ac:dyDescent="0.35">
      <c r="A52" s="37"/>
      <c r="B52" s="37"/>
      <c r="C52" s="34">
        <v>2017</v>
      </c>
      <c r="D52" s="34">
        <v>8</v>
      </c>
      <c r="E52" s="34">
        <v>5</v>
      </c>
      <c r="F52" s="34" t="s">
        <v>675</v>
      </c>
      <c r="G52" s="34" t="s">
        <v>112</v>
      </c>
      <c r="H52" s="34"/>
      <c r="I52" s="49"/>
      <c r="J52" s="37"/>
      <c r="K52" s="37"/>
    </row>
    <row r="53" spans="1:11" x14ac:dyDescent="0.35">
      <c r="A53" s="37"/>
      <c r="B53" s="37"/>
      <c r="C53" s="34">
        <v>2017</v>
      </c>
      <c r="D53" s="34">
        <v>8</v>
      </c>
      <c r="E53" s="34">
        <v>5</v>
      </c>
      <c r="F53" s="34" t="s">
        <v>675</v>
      </c>
      <c r="G53" s="34" t="s">
        <v>112</v>
      </c>
      <c r="H53" s="34"/>
      <c r="I53" s="49"/>
      <c r="J53" s="37"/>
      <c r="K53" s="37"/>
    </row>
    <row r="54" spans="1:11" x14ac:dyDescent="0.35">
      <c r="A54" s="37"/>
      <c r="B54" s="37"/>
      <c r="C54" s="34">
        <v>2020</v>
      </c>
      <c r="D54" s="34">
        <v>1</v>
      </c>
      <c r="E54" s="34">
        <v>5</v>
      </c>
      <c r="F54" s="34" t="s">
        <v>675</v>
      </c>
      <c r="G54" s="34" t="s">
        <v>112</v>
      </c>
      <c r="H54" s="34"/>
      <c r="I54" s="34"/>
      <c r="J54" s="37"/>
      <c r="K54" s="37"/>
    </row>
    <row r="55" spans="1:11" x14ac:dyDescent="0.35">
      <c r="A55" s="37"/>
      <c r="B55" s="37"/>
      <c r="C55" s="34">
        <v>2020</v>
      </c>
      <c r="D55" s="34">
        <v>1</v>
      </c>
      <c r="E55" s="34">
        <v>5</v>
      </c>
      <c r="F55" s="34" t="s">
        <v>675</v>
      </c>
      <c r="G55" s="34" t="s">
        <v>112</v>
      </c>
      <c r="H55" s="34"/>
      <c r="I55" s="34"/>
      <c r="J55" s="37"/>
      <c r="K55" s="37"/>
    </row>
    <row r="56" spans="1:11" x14ac:dyDescent="0.35">
      <c r="A56" s="37"/>
      <c r="B56" s="37"/>
      <c r="C56" s="34">
        <v>2020</v>
      </c>
      <c r="D56" s="34">
        <v>1</v>
      </c>
      <c r="E56" s="34">
        <v>5</v>
      </c>
      <c r="F56" s="34" t="s">
        <v>675</v>
      </c>
      <c r="G56" s="34" t="s">
        <v>112</v>
      </c>
      <c r="H56" s="34"/>
      <c r="I56" s="34"/>
      <c r="J56" s="37"/>
      <c r="K56" s="37"/>
    </row>
    <row r="57" spans="1:11" x14ac:dyDescent="0.35">
      <c r="A57" s="37"/>
      <c r="B57" s="37"/>
      <c r="C57" s="34">
        <v>2020</v>
      </c>
      <c r="D57" s="34">
        <v>1</v>
      </c>
      <c r="E57" s="34">
        <v>5</v>
      </c>
      <c r="F57" s="34" t="s">
        <v>675</v>
      </c>
      <c r="G57" s="34" t="s">
        <v>112</v>
      </c>
      <c r="H57" s="34"/>
      <c r="I57" s="58"/>
      <c r="J57" s="37"/>
      <c r="K57" s="37"/>
    </row>
    <row r="58" spans="1:11" x14ac:dyDescent="0.35">
      <c r="A58" s="37"/>
      <c r="B58" s="37"/>
      <c r="C58" s="34">
        <v>2020</v>
      </c>
      <c r="D58" s="34">
        <v>1</v>
      </c>
      <c r="E58" s="34">
        <v>5</v>
      </c>
      <c r="F58" s="34" t="s">
        <v>675</v>
      </c>
      <c r="G58" s="34" t="s">
        <v>112</v>
      </c>
      <c r="H58" s="34"/>
      <c r="I58" s="49"/>
      <c r="J58" s="37"/>
      <c r="K58" s="37"/>
    </row>
    <row r="59" spans="1:11" x14ac:dyDescent="0.35">
      <c r="A59" s="37"/>
      <c r="B59" s="37"/>
      <c r="C59" s="34">
        <v>2020</v>
      </c>
      <c r="D59" s="34">
        <v>1</v>
      </c>
      <c r="E59" s="34">
        <v>5</v>
      </c>
      <c r="F59" s="34" t="s">
        <v>675</v>
      </c>
      <c r="G59" s="34" t="s">
        <v>112</v>
      </c>
      <c r="H59" s="34"/>
      <c r="I59" s="34"/>
      <c r="J59" s="37"/>
      <c r="K59" s="37"/>
    </row>
    <row r="60" spans="1:11" x14ac:dyDescent="0.35">
      <c r="A60" s="37"/>
      <c r="B60" s="37"/>
      <c r="C60" s="34">
        <v>2020</v>
      </c>
      <c r="D60" s="34">
        <v>1</v>
      </c>
      <c r="E60" s="34">
        <v>5</v>
      </c>
      <c r="F60" s="34" t="s">
        <v>675</v>
      </c>
      <c r="G60" s="34" t="s">
        <v>112</v>
      </c>
      <c r="H60" s="34"/>
      <c r="I60" s="49"/>
      <c r="J60" s="37"/>
      <c r="K60" s="37"/>
    </row>
    <row r="61" spans="1:11" x14ac:dyDescent="0.35">
      <c r="A61" s="37"/>
      <c r="B61" s="37"/>
      <c r="C61" s="34">
        <v>2020</v>
      </c>
      <c r="D61" s="34">
        <v>1</v>
      </c>
      <c r="E61" s="34">
        <v>5</v>
      </c>
      <c r="F61" s="34" t="s">
        <v>675</v>
      </c>
      <c r="G61" s="34" t="s">
        <v>112</v>
      </c>
      <c r="H61" s="34"/>
      <c r="I61" s="58"/>
      <c r="J61" s="37"/>
      <c r="K61" s="37"/>
    </row>
    <row r="62" spans="1:11" x14ac:dyDescent="0.35">
      <c r="A62" s="37"/>
      <c r="B62" s="37"/>
      <c r="C62" s="34">
        <v>2020</v>
      </c>
      <c r="D62" s="34">
        <v>1</v>
      </c>
      <c r="E62" s="34">
        <v>5</v>
      </c>
      <c r="F62" s="34" t="s">
        <v>675</v>
      </c>
      <c r="G62" s="34" t="s">
        <v>112</v>
      </c>
      <c r="H62" s="34"/>
      <c r="I62" s="58"/>
      <c r="J62" s="37"/>
      <c r="K62" s="37"/>
    </row>
    <row r="63" spans="1:11" x14ac:dyDescent="0.35">
      <c r="A63" s="37"/>
      <c r="B63" s="37"/>
      <c r="C63" s="34">
        <v>2020</v>
      </c>
      <c r="D63" s="34">
        <v>1</v>
      </c>
      <c r="E63" s="34">
        <v>5</v>
      </c>
      <c r="F63" s="34" t="s">
        <v>675</v>
      </c>
      <c r="G63" s="34" t="s">
        <v>112</v>
      </c>
      <c r="H63" s="34"/>
      <c r="I63" s="34"/>
      <c r="J63" s="37"/>
      <c r="K63" s="37"/>
    </row>
    <row r="64" spans="1:11" x14ac:dyDescent="0.35">
      <c r="A64" s="37"/>
      <c r="B64" s="37"/>
      <c r="C64" s="34">
        <v>2020</v>
      </c>
      <c r="D64" s="34">
        <v>1</v>
      </c>
      <c r="E64" s="34">
        <v>5</v>
      </c>
      <c r="F64" s="34" t="s">
        <v>675</v>
      </c>
      <c r="G64" s="34" t="s">
        <v>112</v>
      </c>
      <c r="H64" s="34"/>
      <c r="I64" s="58"/>
      <c r="J64" s="37"/>
      <c r="K64" s="37"/>
    </row>
    <row r="65" spans="1:11" x14ac:dyDescent="0.35">
      <c r="A65" s="37"/>
      <c r="B65" s="37"/>
      <c r="C65" s="34">
        <v>2020</v>
      </c>
      <c r="D65" s="34">
        <v>1</v>
      </c>
      <c r="E65" s="34">
        <v>5</v>
      </c>
      <c r="F65" s="34" t="s">
        <v>675</v>
      </c>
      <c r="G65" s="34" t="s">
        <v>112</v>
      </c>
      <c r="H65" s="34"/>
      <c r="I65" s="58"/>
      <c r="J65" s="37"/>
      <c r="K65" s="37"/>
    </row>
    <row r="66" spans="1:11" x14ac:dyDescent="0.35">
      <c r="A66" s="37"/>
      <c r="B66" s="37"/>
      <c r="C66" s="34">
        <v>2020</v>
      </c>
      <c r="D66" s="34">
        <v>1</v>
      </c>
      <c r="E66" s="34">
        <v>5</v>
      </c>
      <c r="F66" s="34" t="s">
        <v>675</v>
      </c>
      <c r="G66" s="34" t="s">
        <v>112</v>
      </c>
      <c r="H66" s="34"/>
      <c r="I66" s="58"/>
      <c r="J66" s="37"/>
      <c r="K66" s="37"/>
    </row>
    <row r="67" spans="1:11" x14ac:dyDescent="0.35">
      <c r="A67" s="37"/>
      <c r="B67" s="37"/>
      <c r="C67" s="34">
        <v>2020</v>
      </c>
      <c r="D67" s="34">
        <v>1</v>
      </c>
      <c r="E67" s="34">
        <v>5</v>
      </c>
      <c r="F67" s="34" t="s">
        <v>675</v>
      </c>
      <c r="G67" s="34" t="s">
        <v>112</v>
      </c>
      <c r="H67" s="34"/>
      <c r="I67" s="58"/>
      <c r="J67" s="37"/>
      <c r="K67" s="37"/>
    </row>
    <row r="68" spans="1:11" x14ac:dyDescent="0.35">
      <c r="A68" s="37"/>
      <c r="B68" s="37"/>
      <c r="C68" s="34">
        <v>2020</v>
      </c>
      <c r="D68" s="34">
        <v>1</v>
      </c>
      <c r="E68" s="34">
        <v>5</v>
      </c>
      <c r="F68" s="34" t="s">
        <v>675</v>
      </c>
      <c r="G68" s="34" t="s">
        <v>112</v>
      </c>
      <c r="H68" s="34"/>
      <c r="I68" s="34"/>
      <c r="J68" s="37"/>
      <c r="K68" s="37"/>
    </row>
    <row r="69" spans="1:11" x14ac:dyDescent="0.35">
      <c r="A69" s="37"/>
      <c r="B69" s="37"/>
      <c r="C69" s="34">
        <v>2020</v>
      </c>
      <c r="D69" s="34">
        <v>1</v>
      </c>
      <c r="E69" s="34">
        <v>5</v>
      </c>
      <c r="F69" s="34" t="s">
        <v>675</v>
      </c>
      <c r="G69" s="34" t="s">
        <v>112</v>
      </c>
      <c r="H69" s="34"/>
      <c r="I69" s="58"/>
      <c r="J69" s="37"/>
      <c r="K69" s="37"/>
    </row>
    <row r="70" spans="1:11" x14ac:dyDescent="0.35">
      <c r="A70" s="37"/>
      <c r="B70" s="37"/>
      <c r="C70" s="34">
        <v>2020</v>
      </c>
      <c r="D70" s="34">
        <v>1</v>
      </c>
      <c r="E70" s="34">
        <v>5</v>
      </c>
      <c r="F70" s="34" t="s">
        <v>675</v>
      </c>
      <c r="G70" s="34" t="s">
        <v>112</v>
      </c>
      <c r="H70" s="34"/>
      <c r="I70" s="58"/>
      <c r="J70" s="37"/>
      <c r="K70" s="37"/>
    </row>
    <row r="71" spans="1:11" x14ac:dyDescent="0.35">
      <c r="A71" s="37"/>
      <c r="B71" s="37"/>
      <c r="C71" s="34">
        <v>2020</v>
      </c>
      <c r="D71" s="34">
        <v>1</v>
      </c>
      <c r="E71" s="34">
        <v>5</v>
      </c>
      <c r="F71" s="34" t="s">
        <v>675</v>
      </c>
      <c r="G71" s="34" t="s">
        <v>112</v>
      </c>
      <c r="H71" s="34"/>
      <c r="I71" s="58"/>
      <c r="J71" s="37"/>
      <c r="K71" s="37"/>
    </row>
    <row r="72" spans="1:11" x14ac:dyDescent="0.35">
      <c r="A72" s="37"/>
      <c r="B72" s="37"/>
      <c r="C72" s="34">
        <v>2020</v>
      </c>
      <c r="D72" s="34">
        <v>1</v>
      </c>
      <c r="E72" s="34">
        <v>5</v>
      </c>
      <c r="F72" s="34" t="s">
        <v>675</v>
      </c>
      <c r="G72" s="34" t="s">
        <v>112</v>
      </c>
      <c r="H72" s="34"/>
      <c r="I72" s="50"/>
      <c r="J72" s="37"/>
      <c r="K72" s="37"/>
    </row>
    <row r="73" spans="1:11" x14ac:dyDescent="0.35">
      <c r="A73" s="37"/>
      <c r="B73" s="37"/>
      <c r="C73" s="38">
        <v>2020</v>
      </c>
      <c r="D73" s="38">
        <v>1</v>
      </c>
      <c r="E73" s="38">
        <v>5</v>
      </c>
      <c r="F73" s="38" t="s">
        <v>675</v>
      </c>
      <c r="G73" s="34" t="s">
        <v>112</v>
      </c>
      <c r="H73" s="34"/>
      <c r="I73" s="50"/>
      <c r="J73" s="37"/>
      <c r="K73" s="37"/>
    </row>
    <row r="74" spans="1:11" x14ac:dyDescent="0.35">
      <c r="A74" s="37"/>
      <c r="B74" s="37"/>
      <c r="C74" s="57">
        <v>2024</v>
      </c>
      <c r="D74" s="57">
        <v>4</v>
      </c>
      <c r="E74" s="38">
        <v>5</v>
      </c>
      <c r="F74" s="38" t="s">
        <v>675</v>
      </c>
      <c r="G74" s="34" t="s">
        <v>112</v>
      </c>
      <c r="H74" s="34"/>
      <c r="I74" s="40"/>
      <c r="J74" s="37"/>
      <c r="K74" s="37"/>
    </row>
    <row r="75" spans="1:11" x14ac:dyDescent="0.35">
      <c r="A75" s="37"/>
      <c r="B75" s="37"/>
      <c r="C75" s="57">
        <v>2024</v>
      </c>
      <c r="D75" s="57">
        <v>4</v>
      </c>
      <c r="E75" s="38">
        <v>5</v>
      </c>
      <c r="F75" s="38" t="s">
        <v>675</v>
      </c>
      <c r="G75" s="34" t="s">
        <v>112</v>
      </c>
      <c r="H75" s="34"/>
      <c r="I75" s="41"/>
      <c r="J75" s="37"/>
      <c r="K75" s="37"/>
    </row>
    <row r="76" spans="1:11" x14ac:dyDescent="0.35">
      <c r="A76" s="37"/>
      <c r="B76" s="37"/>
      <c r="C76" s="57">
        <v>2024</v>
      </c>
      <c r="D76" s="57">
        <v>4</v>
      </c>
      <c r="E76" s="38">
        <v>5</v>
      </c>
      <c r="F76" s="38" t="s">
        <v>675</v>
      </c>
      <c r="G76" s="34" t="s">
        <v>112</v>
      </c>
      <c r="H76" s="34"/>
      <c r="I76" s="40"/>
      <c r="J76" s="37"/>
      <c r="K76" s="37"/>
    </row>
    <row r="77" spans="1:11" x14ac:dyDescent="0.35">
      <c r="A77" s="37"/>
      <c r="B77" s="37"/>
      <c r="C77" s="57">
        <v>2024</v>
      </c>
      <c r="D77" s="57">
        <v>4</v>
      </c>
      <c r="E77" s="38">
        <v>5</v>
      </c>
      <c r="F77" s="38" t="s">
        <v>675</v>
      </c>
      <c r="G77" s="34" t="s">
        <v>112</v>
      </c>
      <c r="H77" s="34"/>
      <c r="I77" s="40"/>
      <c r="J77" s="37"/>
      <c r="K77" s="37"/>
    </row>
    <row r="78" spans="1:11" x14ac:dyDescent="0.35">
      <c r="A78" s="37"/>
      <c r="B78" s="37"/>
      <c r="C78" s="57">
        <v>2024</v>
      </c>
      <c r="D78" s="57">
        <v>4</v>
      </c>
      <c r="E78" s="38">
        <v>5</v>
      </c>
      <c r="F78" s="38" t="s">
        <v>675</v>
      </c>
      <c r="G78" s="34" t="s">
        <v>112</v>
      </c>
      <c r="H78" s="34"/>
      <c r="I78" s="54"/>
      <c r="J78" s="37"/>
      <c r="K78" s="37"/>
    </row>
    <row r="79" spans="1:11" x14ac:dyDescent="0.35">
      <c r="A79" s="37"/>
      <c r="B79" s="37"/>
      <c r="C79" s="57">
        <v>2019</v>
      </c>
      <c r="D79" s="57">
        <v>12</v>
      </c>
      <c r="E79" s="61">
        <v>6</v>
      </c>
      <c r="F79" s="61" t="s">
        <v>698</v>
      </c>
      <c r="G79" s="34" t="s">
        <v>112</v>
      </c>
      <c r="H79" s="34"/>
      <c r="I79" s="38"/>
      <c r="J79" s="37"/>
      <c r="K79" s="37"/>
    </row>
    <row r="93" spans="2:2" x14ac:dyDescent="0.35">
      <c r="B93" s="2" t="s">
        <v>0</v>
      </c>
    </row>
    <row r="94" spans="2:2" x14ac:dyDescent="0.35">
      <c r="B94" s="2" t="s">
        <v>90</v>
      </c>
    </row>
    <row r="95" spans="2:2" x14ac:dyDescent="0.35">
      <c r="B95" s="2" t="s">
        <v>94</v>
      </c>
    </row>
  </sheetData>
  <mergeCells count="1">
    <mergeCell ref="A2:I2"/>
  </mergeCells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104"/>
  <sheetViews>
    <sheetView topLeftCell="G22" zoomScale="70" zoomScaleNormal="70" workbookViewId="0">
      <selection activeCell="V102" sqref="V102"/>
    </sheetView>
  </sheetViews>
  <sheetFormatPr defaultRowHeight="14.5" x14ac:dyDescent="0.35"/>
  <cols>
    <col min="1" max="1" width="9" customWidth="1"/>
    <col min="2" max="2" width="17.1796875" customWidth="1"/>
    <col min="3" max="3" width="16.81640625" customWidth="1"/>
    <col min="4" max="4" width="14.08984375" customWidth="1"/>
    <col min="5" max="5" width="27.90625" customWidth="1"/>
    <col min="6" max="6" width="38.90625" customWidth="1"/>
    <col min="7" max="7" width="18.1796875" customWidth="1"/>
    <col min="8" max="8" width="17.08984375" customWidth="1"/>
    <col min="9" max="9" width="33.6328125" customWidth="1"/>
    <col min="10" max="10" width="21.1796875" customWidth="1"/>
    <col min="11" max="11" width="15.54296875" customWidth="1"/>
    <col min="12" max="12" width="13.6328125" customWidth="1"/>
    <col min="13" max="13" width="18.81640625" customWidth="1"/>
    <col min="14" max="14" width="16.54296875" customWidth="1"/>
    <col min="15" max="15" width="14.81640625" customWidth="1"/>
    <col min="16" max="16" width="16.36328125" customWidth="1"/>
    <col min="17" max="17" width="22.1796875" customWidth="1"/>
    <col min="18" max="18" width="22.6328125" customWidth="1"/>
    <col min="19" max="19" width="19.1796875" customWidth="1"/>
    <col min="22" max="22" width="13.1796875" customWidth="1"/>
  </cols>
  <sheetData>
    <row r="2" spans="1:23" x14ac:dyDescent="0.35">
      <c r="A2" s="83" t="s">
        <v>97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V2" s="7"/>
    </row>
    <row r="4" spans="1:23" x14ac:dyDescent="0.35">
      <c r="A4" s="4" t="s">
        <v>10</v>
      </c>
      <c r="B4" s="4" t="s">
        <v>13</v>
      </c>
      <c r="C4" s="4" t="s">
        <v>11</v>
      </c>
      <c r="D4" s="4" t="s">
        <v>12</v>
      </c>
      <c r="E4" s="4" t="s">
        <v>14</v>
      </c>
      <c r="F4" s="4" t="s">
        <v>16</v>
      </c>
      <c r="G4" s="4" t="s">
        <v>15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4" t="s">
        <v>24</v>
      </c>
      <c r="P4" s="4" t="s">
        <v>25</v>
      </c>
      <c r="Q4" s="4" t="s">
        <v>45</v>
      </c>
      <c r="R4" s="4" t="s">
        <v>46</v>
      </c>
      <c r="S4" s="4" t="s">
        <v>47</v>
      </c>
    </row>
    <row r="5" spans="1:23" s="8" customFormat="1" ht="18.5" x14ac:dyDescent="0.35">
      <c r="A5" s="19" t="s">
        <v>49</v>
      </c>
      <c r="B5" s="19" t="s">
        <v>64</v>
      </c>
      <c r="C5" s="10" t="s">
        <v>73</v>
      </c>
      <c r="D5" s="10" t="s">
        <v>74</v>
      </c>
      <c r="E5" s="10" t="s">
        <v>48</v>
      </c>
      <c r="F5" s="10" t="s">
        <v>51</v>
      </c>
      <c r="G5" s="10" t="s">
        <v>69</v>
      </c>
      <c r="H5" s="10" t="s">
        <v>28</v>
      </c>
      <c r="I5" s="10" t="s">
        <v>44</v>
      </c>
      <c r="J5" s="10" t="s">
        <v>29</v>
      </c>
      <c r="K5" s="14" t="s">
        <v>57</v>
      </c>
      <c r="L5" s="14" t="s">
        <v>30</v>
      </c>
      <c r="M5" s="14" t="s">
        <v>58</v>
      </c>
      <c r="N5" s="14" t="s">
        <v>67</v>
      </c>
      <c r="O5" s="14" t="s">
        <v>92</v>
      </c>
      <c r="P5" s="14" t="s">
        <v>93</v>
      </c>
      <c r="Q5" s="14" t="s">
        <v>61</v>
      </c>
      <c r="R5" s="14" t="s">
        <v>62</v>
      </c>
      <c r="S5" s="14" t="s">
        <v>65</v>
      </c>
    </row>
    <row r="6" spans="1:23" x14ac:dyDescent="0.35">
      <c r="A6" s="37"/>
      <c r="B6" s="37"/>
      <c r="C6" s="34">
        <v>2023</v>
      </c>
      <c r="D6" s="34">
        <v>3</v>
      </c>
      <c r="E6" s="34">
        <v>1</v>
      </c>
      <c r="F6" s="34" t="s">
        <v>649</v>
      </c>
      <c r="G6" s="34" t="s">
        <v>112</v>
      </c>
      <c r="H6" s="34" t="s">
        <v>115</v>
      </c>
      <c r="I6" s="42" t="s">
        <v>631</v>
      </c>
      <c r="J6" s="34" t="s">
        <v>661</v>
      </c>
      <c r="K6" s="38">
        <v>1</v>
      </c>
      <c r="L6" s="38">
        <v>1</v>
      </c>
      <c r="M6" s="38">
        <v>1</v>
      </c>
      <c r="N6" s="38">
        <v>48</v>
      </c>
      <c r="O6" s="38">
        <v>2</v>
      </c>
      <c r="P6" s="37"/>
      <c r="Q6" s="37"/>
      <c r="R6" s="37"/>
      <c r="S6" s="37"/>
      <c r="V6" s="32">
        <v>98.66</v>
      </c>
      <c r="W6" s="32">
        <v>98.66</v>
      </c>
    </row>
    <row r="7" spans="1:23" x14ac:dyDescent="0.35">
      <c r="A7" s="37"/>
      <c r="B7" s="37"/>
      <c r="C7" s="34">
        <v>2023</v>
      </c>
      <c r="D7" s="34"/>
      <c r="E7" s="34">
        <v>1</v>
      </c>
      <c r="F7" s="34" t="s">
        <v>649</v>
      </c>
      <c r="G7" s="34" t="s">
        <v>112</v>
      </c>
      <c r="H7" s="34" t="s">
        <v>115</v>
      </c>
      <c r="I7" s="42" t="s">
        <v>632</v>
      </c>
      <c r="J7" s="34" t="s">
        <v>661</v>
      </c>
      <c r="K7" s="38">
        <v>1</v>
      </c>
      <c r="L7" s="38">
        <v>1</v>
      </c>
      <c r="M7" s="38">
        <v>1</v>
      </c>
      <c r="N7" s="38">
        <v>48</v>
      </c>
      <c r="O7" s="38">
        <v>2</v>
      </c>
      <c r="P7" s="37"/>
      <c r="Q7" s="37"/>
      <c r="R7" s="37"/>
      <c r="S7" s="37"/>
      <c r="V7" s="32">
        <v>44.44</v>
      </c>
      <c r="W7" s="32">
        <v>44.44</v>
      </c>
    </row>
    <row r="8" spans="1:23" x14ac:dyDescent="0.35">
      <c r="A8" s="37"/>
      <c r="B8" s="37"/>
      <c r="C8" s="34">
        <v>2023</v>
      </c>
      <c r="D8" s="34">
        <v>3</v>
      </c>
      <c r="E8" s="34">
        <v>1</v>
      </c>
      <c r="F8" s="34" t="s">
        <v>649</v>
      </c>
      <c r="G8" s="34" t="s">
        <v>112</v>
      </c>
      <c r="H8" s="34" t="s">
        <v>115</v>
      </c>
      <c r="I8" s="42" t="s">
        <v>633</v>
      </c>
      <c r="J8" s="34" t="s">
        <v>661</v>
      </c>
      <c r="K8" s="38">
        <v>1</v>
      </c>
      <c r="L8" s="38">
        <v>1</v>
      </c>
      <c r="M8" s="38">
        <v>1</v>
      </c>
      <c r="N8" s="38">
        <v>48</v>
      </c>
      <c r="O8" s="38">
        <v>2</v>
      </c>
      <c r="P8" s="37"/>
      <c r="Q8" s="37"/>
      <c r="R8" s="37"/>
      <c r="S8" s="37"/>
      <c r="V8" s="32">
        <v>78.650000000000006</v>
      </c>
      <c r="W8" s="32">
        <v>78.650000000000006</v>
      </c>
    </row>
    <row r="9" spans="1:23" ht="25" x14ac:dyDescent="0.35">
      <c r="A9" s="37"/>
      <c r="B9" s="37"/>
      <c r="C9" s="34">
        <v>2023</v>
      </c>
      <c r="D9" s="34">
        <v>3</v>
      </c>
      <c r="E9" s="34">
        <v>1</v>
      </c>
      <c r="F9" s="34" t="s">
        <v>649</v>
      </c>
      <c r="G9" s="34" t="s">
        <v>112</v>
      </c>
      <c r="H9" s="34" t="s">
        <v>115</v>
      </c>
      <c r="I9" s="42" t="s">
        <v>634</v>
      </c>
      <c r="J9" s="34" t="s">
        <v>661</v>
      </c>
      <c r="K9" s="38">
        <v>1</v>
      </c>
      <c r="L9" s="38">
        <v>1</v>
      </c>
      <c r="M9" s="38">
        <v>1</v>
      </c>
      <c r="N9" s="38">
        <v>48</v>
      </c>
      <c r="O9" s="38">
        <v>2</v>
      </c>
      <c r="P9" s="37"/>
      <c r="Q9" s="37"/>
      <c r="R9" s="37"/>
      <c r="S9" s="37"/>
      <c r="V9" s="32">
        <v>107.87</v>
      </c>
      <c r="W9" s="32">
        <v>107.87</v>
      </c>
    </row>
    <row r="10" spans="1:23" x14ac:dyDescent="0.35">
      <c r="A10" s="37"/>
      <c r="B10" s="37"/>
      <c r="C10" s="34">
        <v>2023</v>
      </c>
      <c r="D10" s="34">
        <v>3</v>
      </c>
      <c r="E10" s="34">
        <v>1</v>
      </c>
      <c r="F10" s="34" t="s">
        <v>649</v>
      </c>
      <c r="G10" s="34" t="s">
        <v>112</v>
      </c>
      <c r="H10" s="34" t="s">
        <v>115</v>
      </c>
      <c r="I10" s="42" t="s">
        <v>635</v>
      </c>
      <c r="J10" s="34" t="s">
        <v>661</v>
      </c>
      <c r="K10" s="38">
        <v>1</v>
      </c>
      <c r="L10" s="38">
        <v>1</v>
      </c>
      <c r="M10" s="38">
        <v>1</v>
      </c>
      <c r="N10" s="38">
        <v>48</v>
      </c>
      <c r="O10" s="38">
        <v>2</v>
      </c>
      <c r="P10" s="37"/>
      <c r="Q10" s="37"/>
      <c r="R10" s="37"/>
      <c r="S10" s="37"/>
      <c r="V10" s="32">
        <v>31.08</v>
      </c>
      <c r="W10" s="32">
        <v>31.08</v>
      </c>
    </row>
    <row r="11" spans="1:23" x14ac:dyDescent="0.35">
      <c r="A11" s="37"/>
      <c r="B11" s="39"/>
      <c r="C11" s="34">
        <v>2023</v>
      </c>
      <c r="D11" s="34">
        <v>3</v>
      </c>
      <c r="E11" s="34">
        <v>1</v>
      </c>
      <c r="F11" s="34" t="s">
        <v>649</v>
      </c>
      <c r="G11" s="34" t="s">
        <v>112</v>
      </c>
      <c r="H11" s="34" t="s">
        <v>115</v>
      </c>
      <c r="I11" s="42" t="s">
        <v>636</v>
      </c>
      <c r="J11" s="34" t="s">
        <v>661</v>
      </c>
      <c r="K11" s="38">
        <v>1</v>
      </c>
      <c r="L11" s="38">
        <v>1</v>
      </c>
      <c r="M11" s="38">
        <v>1</v>
      </c>
      <c r="N11" s="38">
        <v>48</v>
      </c>
      <c r="O11" s="38">
        <v>2</v>
      </c>
      <c r="P11" s="37"/>
      <c r="Q11" s="37"/>
      <c r="R11" s="37"/>
      <c r="S11" s="37"/>
      <c r="V11" s="32">
        <v>78.36</v>
      </c>
      <c r="W11" s="32">
        <v>78.36</v>
      </c>
    </row>
    <row r="12" spans="1:23" x14ac:dyDescent="0.35">
      <c r="A12" s="37"/>
      <c r="B12" s="37"/>
      <c r="C12" s="34">
        <v>2023</v>
      </c>
      <c r="D12" s="34">
        <v>3</v>
      </c>
      <c r="E12" s="34">
        <v>1</v>
      </c>
      <c r="F12" s="34" t="s">
        <v>649</v>
      </c>
      <c r="G12" s="34" t="s">
        <v>112</v>
      </c>
      <c r="H12" s="34" t="s">
        <v>115</v>
      </c>
      <c r="I12" s="42" t="s">
        <v>637</v>
      </c>
      <c r="J12" s="34" t="s">
        <v>661</v>
      </c>
      <c r="K12" s="38">
        <v>1</v>
      </c>
      <c r="L12" s="38">
        <v>1</v>
      </c>
      <c r="M12" s="38">
        <v>1</v>
      </c>
      <c r="N12" s="38">
        <v>48</v>
      </c>
      <c r="O12" s="38">
        <v>2</v>
      </c>
      <c r="P12" s="37"/>
      <c r="Q12" s="37"/>
      <c r="R12" s="37"/>
      <c r="S12" s="37"/>
      <c r="V12" s="32">
        <v>83</v>
      </c>
      <c r="W12" s="32">
        <v>83</v>
      </c>
    </row>
    <row r="13" spans="1:23" x14ac:dyDescent="0.35">
      <c r="A13" s="37"/>
      <c r="B13" s="37"/>
      <c r="C13" s="34">
        <v>2023</v>
      </c>
      <c r="D13" s="34">
        <v>3</v>
      </c>
      <c r="E13" s="34">
        <v>1</v>
      </c>
      <c r="F13" s="34" t="s">
        <v>649</v>
      </c>
      <c r="G13" s="34" t="s">
        <v>112</v>
      </c>
      <c r="H13" s="34" t="s">
        <v>115</v>
      </c>
      <c r="I13" s="42" t="s">
        <v>638</v>
      </c>
      <c r="J13" s="34" t="s">
        <v>661</v>
      </c>
      <c r="K13" s="38">
        <v>1</v>
      </c>
      <c r="L13" s="38">
        <v>1</v>
      </c>
      <c r="M13" s="38">
        <v>1</v>
      </c>
      <c r="N13" s="38">
        <v>48</v>
      </c>
      <c r="O13" s="38">
        <v>2</v>
      </c>
      <c r="P13" s="37"/>
      <c r="Q13" s="37"/>
      <c r="R13" s="37"/>
      <c r="S13" s="37"/>
      <c r="V13" s="32">
        <v>75.8</v>
      </c>
      <c r="W13" s="32">
        <v>75.8</v>
      </c>
    </row>
    <row r="14" spans="1:23" x14ac:dyDescent="0.35">
      <c r="A14" s="37"/>
      <c r="B14" s="37"/>
      <c r="C14" s="34">
        <v>2023</v>
      </c>
      <c r="D14" s="34">
        <v>3</v>
      </c>
      <c r="E14" s="34">
        <v>1</v>
      </c>
      <c r="F14" s="34" t="s">
        <v>649</v>
      </c>
      <c r="G14" s="34" t="s">
        <v>112</v>
      </c>
      <c r="H14" s="34" t="s">
        <v>115</v>
      </c>
      <c r="I14" s="42" t="s">
        <v>639</v>
      </c>
      <c r="J14" s="34" t="s">
        <v>661</v>
      </c>
      <c r="K14" s="38">
        <v>1</v>
      </c>
      <c r="L14" s="38">
        <v>1</v>
      </c>
      <c r="M14" s="38">
        <v>1</v>
      </c>
      <c r="N14" s="38">
        <v>48</v>
      </c>
      <c r="O14" s="38">
        <v>2</v>
      </c>
      <c r="P14" s="37"/>
      <c r="Q14" s="37"/>
      <c r="R14" s="37"/>
      <c r="S14" s="37"/>
      <c r="V14" s="32">
        <v>51.12</v>
      </c>
      <c r="W14" s="32">
        <v>51.12</v>
      </c>
    </row>
    <row r="15" spans="1:23" x14ac:dyDescent="0.35">
      <c r="A15" s="37"/>
      <c r="B15" s="37"/>
      <c r="C15" s="34">
        <v>2023</v>
      </c>
      <c r="D15" s="34">
        <v>3</v>
      </c>
      <c r="E15" s="34">
        <v>1</v>
      </c>
      <c r="F15" s="34" t="s">
        <v>649</v>
      </c>
      <c r="G15" s="34" t="s">
        <v>112</v>
      </c>
      <c r="H15" s="34" t="s">
        <v>115</v>
      </c>
      <c r="I15" s="42" t="s">
        <v>640</v>
      </c>
      <c r="J15" s="34" t="s">
        <v>661</v>
      </c>
      <c r="K15" s="38">
        <v>1</v>
      </c>
      <c r="L15" s="38">
        <v>1</v>
      </c>
      <c r="M15" s="38">
        <v>1</v>
      </c>
      <c r="N15" s="38">
        <v>48</v>
      </c>
      <c r="O15" s="38">
        <v>2</v>
      </c>
      <c r="P15" s="37"/>
      <c r="Q15" s="37"/>
      <c r="R15" s="37"/>
      <c r="S15" s="37"/>
      <c r="V15" s="32">
        <v>45.43</v>
      </c>
      <c r="W15" s="32">
        <v>45.43</v>
      </c>
    </row>
    <row r="16" spans="1:23" x14ac:dyDescent="0.35">
      <c r="A16" s="37"/>
      <c r="B16" s="37"/>
      <c r="C16" s="34">
        <v>2023</v>
      </c>
      <c r="D16" s="34">
        <v>3</v>
      </c>
      <c r="E16" s="34">
        <v>1</v>
      </c>
      <c r="F16" s="34" t="s">
        <v>649</v>
      </c>
      <c r="G16" s="34" t="s">
        <v>112</v>
      </c>
      <c r="H16" s="34" t="s">
        <v>115</v>
      </c>
      <c r="I16" s="42" t="s">
        <v>641</v>
      </c>
      <c r="J16" s="34" t="s">
        <v>661</v>
      </c>
      <c r="K16" s="38">
        <v>1</v>
      </c>
      <c r="L16" s="38">
        <v>1</v>
      </c>
      <c r="M16" s="38">
        <v>1</v>
      </c>
      <c r="N16" s="38">
        <v>48</v>
      </c>
      <c r="O16" s="38">
        <v>2</v>
      </c>
      <c r="P16" s="37"/>
      <c r="Q16" s="37"/>
      <c r="R16" s="37"/>
      <c r="S16" s="37"/>
      <c r="V16" s="32">
        <v>49.19</v>
      </c>
      <c r="W16" s="32">
        <v>49.19</v>
      </c>
    </row>
    <row r="17" spans="1:23" x14ac:dyDescent="0.35">
      <c r="A17" s="37"/>
      <c r="B17" s="37"/>
      <c r="C17" s="34">
        <v>2023</v>
      </c>
      <c r="D17" s="34">
        <v>3</v>
      </c>
      <c r="E17" s="34">
        <v>1</v>
      </c>
      <c r="F17" s="34" t="s">
        <v>649</v>
      </c>
      <c r="G17" s="34" t="s">
        <v>112</v>
      </c>
      <c r="H17" s="34" t="s">
        <v>115</v>
      </c>
      <c r="I17" s="42" t="s">
        <v>642</v>
      </c>
      <c r="J17" s="34" t="s">
        <v>661</v>
      </c>
      <c r="K17" s="38">
        <v>1</v>
      </c>
      <c r="L17" s="38">
        <v>1</v>
      </c>
      <c r="M17" s="38">
        <v>1</v>
      </c>
      <c r="N17" s="38">
        <v>48</v>
      </c>
      <c r="O17" s="38">
        <v>2</v>
      </c>
      <c r="P17" s="37"/>
      <c r="Q17" s="37"/>
      <c r="R17" s="37"/>
      <c r="S17" s="37"/>
      <c r="V17" s="32">
        <v>50.02</v>
      </c>
      <c r="W17" s="32">
        <v>50.02</v>
      </c>
    </row>
    <row r="18" spans="1:23" x14ac:dyDescent="0.35">
      <c r="A18" s="37"/>
      <c r="B18" s="37"/>
      <c r="C18" s="34">
        <v>2023</v>
      </c>
      <c r="D18" s="34">
        <v>3</v>
      </c>
      <c r="E18" s="34">
        <v>1</v>
      </c>
      <c r="F18" s="34" t="s">
        <v>649</v>
      </c>
      <c r="G18" s="34" t="s">
        <v>112</v>
      </c>
      <c r="H18" s="34" t="s">
        <v>115</v>
      </c>
      <c r="I18" s="42" t="s">
        <v>643</v>
      </c>
      <c r="J18" s="34" t="s">
        <v>661</v>
      </c>
      <c r="K18" s="38">
        <v>1</v>
      </c>
      <c r="L18" s="38">
        <v>1</v>
      </c>
      <c r="M18" s="38">
        <v>1</v>
      </c>
      <c r="N18" s="38">
        <v>48</v>
      </c>
      <c r="O18" s="38">
        <v>2</v>
      </c>
      <c r="P18" s="37"/>
      <c r="Q18" s="37"/>
      <c r="R18" s="37"/>
      <c r="S18" s="37"/>
      <c r="V18" s="32">
        <v>101.59</v>
      </c>
      <c r="W18" s="32">
        <v>101.59</v>
      </c>
    </row>
    <row r="19" spans="1:23" x14ac:dyDescent="0.35">
      <c r="A19" s="37"/>
      <c r="B19" s="37"/>
      <c r="C19" s="34">
        <v>2023</v>
      </c>
      <c r="D19" s="34">
        <v>3</v>
      </c>
      <c r="E19" s="34">
        <v>1</v>
      </c>
      <c r="F19" s="34" t="s">
        <v>649</v>
      </c>
      <c r="G19" s="34" t="s">
        <v>112</v>
      </c>
      <c r="H19" s="34" t="s">
        <v>115</v>
      </c>
      <c r="I19" s="33" t="s">
        <v>644</v>
      </c>
      <c r="J19" s="34" t="s">
        <v>661</v>
      </c>
      <c r="K19" s="38">
        <v>1</v>
      </c>
      <c r="L19" s="38">
        <v>1</v>
      </c>
      <c r="M19" s="38">
        <v>1</v>
      </c>
      <c r="N19" s="38">
        <v>48</v>
      </c>
      <c r="O19" s="38">
        <v>2</v>
      </c>
      <c r="P19" s="37"/>
      <c r="Q19" s="37"/>
      <c r="R19" s="37"/>
      <c r="S19" s="37"/>
      <c r="V19" s="33">
        <v>63.51</v>
      </c>
      <c r="W19" s="33">
        <v>63.51</v>
      </c>
    </row>
    <row r="20" spans="1:23" x14ac:dyDescent="0.35">
      <c r="A20" s="37"/>
      <c r="B20" s="37"/>
      <c r="C20" s="34">
        <v>2023</v>
      </c>
      <c r="D20" s="34">
        <v>3</v>
      </c>
      <c r="E20" s="34">
        <v>1</v>
      </c>
      <c r="F20" s="34" t="s">
        <v>649</v>
      </c>
      <c r="G20" s="34" t="s">
        <v>112</v>
      </c>
      <c r="H20" s="34" t="s">
        <v>115</v>
      </c>
      <c r="I20" s="33" t="s">
        <v>645</v>
      </c>
      <c r="J20" s="34" t="s">
        <v>661</v>
      </c>
      <c r="K20" s="38">
        <v>1</v>
      </c>
      <c r="L20" s="38">
        <v>1</v>
      </c>
      <c r="M20" s="38">
        <v>1</v>
      </c>
      <c r="N20" s="38">
        <v>48</v>
      </c>
      <c r="O20" s="38">
        <v>2</v>
      </c>
      <c r="P20" s="37"/>
      <c r="Q20" s="37"/>
      <c r="R20" s="37"/>
      <c r="S20" s="37"/>
      <c r="V20" s="33">
        <v>78.239999999999995</v>
      </c>
      <c r="W20" s="33">
        <v>78.239999999999995</v>
      </c>
    </row>
    <row r="21" spans="1:23" x14ac:dyDescent="0.35">
      <c r="A21" s="37"/>
      <c r="B21" s="37"/>
      <c r="C21" s="34">
        <v>2023</v>
      </c>
      <c r="D21" s="34">
        <v>3</v>
      </c>
      <c r="E21" s="34">
        <v>1</v>
      </c>
      <c r="F21" s="34" t="s">
        <v>649</v>
      </c>
      <c r="G21" s="34" t="s">
        <v>112</v>
      </c>
      <c r="H21" s="34" t="s">
        <v>115</v>
      </c>
      <c r="I21" s="33" t="s">
        <v>646</v>
      </c>
      <c r="J21" s="34" t="s">
        <v>661</v>
      </c>
      <c r="K21" s="38">
        <v>1</v>
      </c>
      <c r="L21" s="38">
        <v>1</v>
      </c>
      <c r="M21" s="38">
        <v>1</v>
      </c>
      <c r="N21" s="38">
        <v>48</v>
      </c>
      <c r="O21" s="38">
        <v>2</v>
      </c>
      <c r="P21" s="37"/>
      <c r="Q21" s="37"/>
      <c r="R21" s="37"/>
      <c r="S21" s="37"/>
      <c r="V21" s="33">
        <v>53.39</v>
      </c>
      <c r="W21" s="33">
        <v>53.39</v>
      </c>
    </row>
    <row r="22" spans="1:23" ht="25" x14ac:dyDescent="0.35">
      <c r="A22" s="37"/>
      <c r="B22" s="37"/>
      <c r="C22" s="34">
        <v>2023</v>
      </c>
      <c r="D22" s="34">
        <v>3</v>
      </c>
      <c r="E22" s="34">
        <v>1</v>
      </c>
      <c r="F22" s="34" t="s">
        <v>649</v>
      </c>
      <c r="G22" s="34" t="s">
        <v>112</v>
      </c>
      <c r="H22" s="34" t="s">
        <v>115</v>
      </c>
      <c r="I22" s="33" t="s">
        <v>647</v>
      </c>
      <c r="J22" s="34" t="s">
        <v>661</v>
      </c>
      <c r="K22" s="38">
        <v>1</v>
      </c>
      <c r="L22" s="38">
        <v>1</v>
      </c>
      <c r="M22" s="38">
        <v>1</v>
      </c>
      <c r="N22" s="38">
        <v>48</v>
      </c>
      <c r="O22" s="38">
        <v>2</v>
      </c>
      <c r="P22" s="37"/>
      <c r="Q22" s="37"/>
      <c r="R22" s="37"/>
      <c r="S22" s="37"/>
      <c r="V22" s="33">
        <v>1.8</v>
      </c>
      <c r="W22" s="33">
        <v>1.8</v>
      </c>
    </row>
    <row r="23" spans="1:23" x14ac:dyDescent="0.35">
      <c r="A23" s="37"/>
      <c r="B23" s="37"/>
      <c r="C23" s="34">
        <v>2023</v>
      </c>
      <c r="D23" s="34">
        <v>3</v>
      </c>
      <c r="E23" s="34">
        <v>1</v>
      </c>
      <c r="F23" s="34" t="s">
        <v>649</v>
      </c>
      <c r="G23" s="34" t="s">
        <v>112</v>
      </c>
      <c r="H23" s="34" t="s">
        <v>115</v>
      </c>
      <c r="I23" s="33" t="s">
        <v>648</v>
      </c>
      <c r="J23" s="34" t="s">
        <v>661</v>
      </c>
      <c r="K23" s="38">
        <v>1</v>
      </c>
      <c r="L23" s="38">
        <v>1</v>
      </c>
      <c r="M23" s="38">
        <v>1</v>
      </c>
      <c r="N23" s="38">
        <v>48</v>
      </c>
      <c r="O23" s="38">
        <v>2</v>
      </c>
      <c r="P23" s="37"/>
      <c r="Q23" s="37"/>
      <c r="R23" s="37"/>
      <c r="S23" s="37"/>
      <c r="V23" s="33">
        <v>35.020000000000003</v>
      </c>
      <c r="W23" s="33">
        <v>35.020000000000003</v>
      </c>
    </row>
    <row r="24" spans="1:23" x14ac:dyDescent="0.35">
      <c r="A24" s="37"/>
      <c r="B24" s="37"/>
      <c r="C24" s="34">
        <v>2023</v>
      </c>
      <c r="D24" s="34">
        <v>8</v>
      </c>
      <c r="E24" s="34">
        <v>2</v>
      </c>
      <c r="F24" s="34" t="s">
        <v>650</v>
      </c>
      <c r="G24" s="34" t="s">
        <v>112</v>
      </c>
      <c r="H24" s="34" t="s">
        <v>115</v>
      </c>
      <c r="I24" s="43" t="s">
        <v>651</v>
      </c>
      <c r="J24" s="34" t="s">
        <v>661</v>
      </c>
      <c r="K24" s="38">
        <v>1</v>
      </c>
      <c r="L24" s="38">
        <v>1</v>
      </c>
      <c r="M24" s="38">
        <v>1</v>
      </c>
      <c r="N24" s="38">
        <v>48</v>
      </c>
      <c r="O24" s="38">
        <v>2</v>
      </c>
      <c r="P24" s="37"/>
      <c r="Q24" s="37"/>
      <c r="R24" s="37"/>
      <c r="S24" s="37"/>
      <c r="V24" s="35">
        <v>53.48</v>
      </c>
      <c r="W24" s="35">
        <v>53.48</v>
      </c>
    </row>
    <row r="25" spans="1:23" x14ac:dyDescent="0.35">
      <c r="A25" s="37"/>
      <c r="B25" s="37"/>
      <c r="C25" s="34">
        <v>2023</v>
      </c>
      <c r="D25" s="34">
        <v>8</v>
      </c>
      <c r="E25" s="34">
        <v>2</v>
      </c>
      <c r="F25" s="34" t="s">
        <v>650</v>
      </c>
      <c r="G25" s="34" t="s">
        <v>112</v>
      </c>
      <c r="H25" s="34" t="s">
        <v>115</v>
      </c>
      <c r="I25" s="41" t="s">
        <v>652</v>
      </c>
      <c r="J25" s="34" t="s">
        <v>661</v>
      </c>
      <c r="K25" s="38">
        <v>1</v>
      </c>
      <c r="L25" s="38">
        <v>1</v>
      </c>
      <c r="M25" s="38">
        <v>1</v>
      </c>
      <c r="N25" s="38">
        <v>48</v>
      </c>
      <c r="O25" s="38">
        <v>2</v>
      </c>
      <c r="P25" s="37"/>
      <c r="Q25" s="37"/>
      <c r="R25" s="37"/>
      <c r="S25" s="37"/>
      <c r="V25" s="35">
        <v>75.16</v>
      </c>
      <c r="W25" s="35">
        <v>75.16</v>
      </c>
    </row>
    <row r="26" spans="1:23" x14ac:dyDescent="0.35">
      <c r="A26" s="37"/>
      <c r="B26" s="37"/>
      <c r="C26" s="34">
        <v>2023</v>
      </c>
      <c r="D26" s="34">
        <v>8</v>
      </c>
      <c r="E26" s="34">
        <v>2</v>
      </c>
      <c r="F26" s="34" t="s">
        <v>650</v>
      </c>
      <c r="G26" s="34" t="s">
        <v>112</v>
      </c>
      <c r="H26" s="34" t="s">
        <v>115</v>
      </c>
      <c r="I26" s="41" t="s">
        <v>653</v>
      </c>
      <c r="J26" s="34" t="s">
        <v>661</v>
      </c>
      <c r="K26" s="38">
        <v>1</v>
      </c>
      <c r="L26" s="38">
        <v>1</v>
      </c>
      <c r="M26" s="38">
        <v>1</v>
      </c>
      <c r="N26" s="38">
        <v>48</v>
      </c>
      <c r="O26" s="38">
        <v>2</v>
      </c>
      <c r="P26" s="37"/>
      <c r="Q26" s="37"/>
      <c r="R26" s="37"/>
      <c r="S26" s="37"/>
      <c r="V26" s="35">
        <v>83.75</v>
      </c>
      <c r="W26" s="35">
        <v>83.75</v>
      </c>
    </row>
    <row r="27" spans="1:23" x14ac:dyDescent="0.35">
      <c r="A27" s="37"/>
      <c r="B27" s="37"/>
      <c r="C27" s="34">
        <v>2023</v>
      </c>
      <c r="D27" s="34">
        <v>8</v>
      </c>
      <c r="E27" s="34">
        <v>2</v>
      </c>
      <c r="F27" s="34" t="s">
        <v>650</v>
      </c>
      <c r="G27" s="34" t="s">
        <v>112</v>
      </c>
      <c r="H27" s="34" t="s">
        <v>115</v>
      </c>
      <c r="I27" s="41" t="s">
        <v>654</v>
      </c>
      <c r="J27" s="34" t="s">
        <v>661</v>
      </c>
      <c r="K27" s="38">
        <v>1</v>
      </c>
      <c r="L27" s="38">
        <v>1</v>
      </c>
      <c r="M27" s="38">
        <v>1</v>
      </c>
      <c r="N27" s="38">
        <v>48</v>
      </c>
      <c r="O27" s="38">
        <v>2</v>
      </c>
      <c r="P27" s="37"/>
      <c r="Q27" s="37"/>
      <c r="R27" s="37"/>
      <c r="S27" s="37"/>
      <c r="V27" s="35">
        <v>89.22</v>
      </c>
      <c r="W27" s="35">
        <v>89.22</v>
      </c>
    </row>
    <row r="28" spans="1:23" x14ac:dyDescent="0.35">
      <c r="A28" s="37"/>
      <c r="B28" s="37"/>
      <c r="C28" s="34">
        <v>2023</v>
      </c>
      <c r="D28" s="34">
        <v>8</v>
      </c>
      <c r="E28" s="34">
        <v>2</v>
      </c>
      <c r="F28" s="34" t="s">
        <v>650</v>
      </c>
      <c r="G28" s="34" t="s">
        <v>112</v>
      </c>
      <c r="H28" s="34" t="s">
        <v>115</v>
      </c>
      <c r="I28" s="41" t="s">
        <v>655</v>
      </c>
      <c r="J28" s="34" t="s">
        <v>661</v>
      </c>
      <c r="K28" s="38">
        <v>1</v>
      </c>
      <c r="L28" s="38">
        <v>1</v>
      </c>
      <c r="M28" s="38">
        <v>1</v>
      </c>
      <c r="N28" s="38">
        <v>48</v>
      </c>
      <c r="O28" s="38">
        <v>2</v>
      </c>
      <c r="P28" s="37"/>
      <c r="Q28" s="37"/>
      <c r="R28" s="37"/>
      <c r="S28" s="37"/>
      <c r="V28" s="35">
        <v>69.08</v>
      </c>
      <c r="W28" s="35">
        <v>69.08</v>
      </c>
    </row>
    <row r="29" spans="1:23" x14ac:dyDescent="0.35">
      <c r="A29" s="37"/>
      <c r="B29" s="37"/>
      <c r="C29" s="34">
        <v>2023</v>
      </c>
      <c r="D29" s="34">
        <v>8</v>
      </c>
      <c r="E29" s="34">
        <v>2</v>
      </c>
      <c r="F29" s="34" t="s">
        <v>650</v>
      </c>
      <c r="G29" s="34" t="s">
        <v>112</v>
      </c>
      <c r="H29" s="34" t="s">
        <v>115</v>
      </c>
      <c r="I29" s="41" t="s">
        <v>656</v>
      </c>
      <c r="J29" s="34" t="s">
        <v>661</v>
      </c>
      <c r="K29" s="38">
        <v>1</v>
      </c>
      <c r="L29" s="38">
        <v>1</v>
      </c>
      <c r="M29" s="38">
        <v>1</v>
      </c>
      <c r="N29" s="38">
        <v>48</v>
      </c>
      <c r="O29" s="38">
        <v>2</v>
      </c>
      <c r="P29" s="37"/>
      <c r="Q29" s="37"/>
      <c r="R29" s="37"/>
      <c r="S29" s="37"/>
      <c r="V29" s="35">
        <v>75.430000000000007</v>
      </c>
      <c r="W29" s="35">
        <v>75.430000000000007</v>
      </c>
    </row>
    <row r="30" spans="1:23" x14ac:dyDescent="0.35">
      <c r="A30" s="37"/>
      <c r="B30" s="37"/>
      <c r="C30" s="34">
        <v>2023</v>
      </c>
      <c r="D30" s="34">
        <v>8</v>
      </c>
      <c r="E30" s="34">
        <v>2</v>
      </c>
      <c r="F30" s="34" t="s">
        <v>650</v>
      </c>
      <c r="G30" s="34" t="s">
        <v>112</v>
      </c>
      <c r="H30" s="34" t="s">
        <v>115</v>
      </c>
      <c r="I30" s="44" t="s">
        <v>635</v>
      </c>
      <c r="J30" s="34" t="s">
        <v>661</v>
      </c>
      <c r="K30" s="38">
        <v>1</v>
      </c>
      <c r="L30" s="38">
        <v>1</v>
      </c>
      <c r="M30" s="38">
        <v>1</v>
      </c>
      <c r="N30" s="38">
        <v>48</v>
      </c>
      <c r="O30" s="38">
        <v>2</v>
      </c>
      <c r="P30" s="37"/>
      <c r="Q30" s="37"/>
      <c r="R30" s="37"/>
      <c r="S30" s="37"/>
      <c r="V30" s="35">
        <v>31.08</v>
      </c>
      <c r="W30" s="35">
        <v>31.08</v>
      </c>
    </row>
    <row r="31" spans="1:23" x14ac:dyDescent="0.35">
      <c r="A31" s="37"/>
      <c r="B31" s="37"/>
      <c r="C31" s="34">
        <v>2023</v>
      </c>
      <c r="D31" s="34">
        <v>8</v>
      </c>
      <c r="E31" s="34">
        <v>2</v>
      </c>
      <c r="F31" s="34" t="s">
        <v>650</v>
      </c>
      <c r="G31" s="34" t="s">
        <v>112</v>
      </c>
      <c r="H31" s="34" t="s">
        <v>115</v>
      </c>
      <c r="I31" s="41" t="s">
        <v>636</v>
      </c>
      <c r="J31" s="34" t="s">
        <v>661</v>
      </c>
      <c r="K31" s="38">
        <v>1</v>
      </c>
      <c r="L31" s="38">
        <v>1</v>
      </c>
      <c r="M31" s="38">
        <v>1</v>
      </c>
      <c r="N31" s="38">
        <v>48</v>
      </c>
      <c r="O31" s="38">
        <v>2</v>
      </c>
      <c r="P31" s="37"/>
      <c r="Q31" s="37"/>
      <c r="R31" s="37"/>
      <c r="S31" s="37"/>
      <c r="V31" s="35">
        <v>78.36</v>
      </c>
      <c r="W31" s="35">
        <v>78.36</v>
      </c>
    </row>
    <row r="32" spans="1:23" x14ac:dyDescent="0.35">
      <c r="A32" s="37"/>
      <c r="B32" s="37"/>
      <c r="C32" s="34">
        <v>2023</v>
      </c>
      <c r="D32" s="34">
        <v>8</v>
      </c>
      <c r="E32" s="34">
        <v>2</v>
      </c>
      <c r="F32" s="34" t="s">
        <v>650</v>
      </c>
      <c r="G32" s="34" t="s">
        <v>112</v>
      </c>
      <c r="H32" s="34" t="s">
        <v>115</v>
      </c>
      <c r="I32" s="41" t="s">
        <v>637</v>
      </c>
      <c r="J32" s="34" t="s">
        <v>661</v>
      </c>
      <c r="K32" s="38">
        <v>1</v>
      </c>
      <c r="L32" s="38">
        <v>1</v>
      </c>
      <c r="M32" s="38">
        <v>1</v>
      </c>
      <c r="N32" s="38">
        <v>48</v>
      </c>
      <c r="O32" s="38">
        <v>2</v>
      </c>
      <c r="P32" s="37"/>
      <c r="Q32" s="37"/>
      <c r="R32" s="37"/>
      <c r="S32" s="37"/>
      <c r="V32" s="35">
        <v>83</v>
      </c>
      <c r="W32" s="35">
        <v>83</v>
      </c>
    </row>
    <row r="33" spans="1:23" x14ac:dyDescent="0.35">
      <c r="A33" s="37"/>
      <c r="B33" s="37"/>
      <c r="C33" s="34">
        <v>2023</v>
      </c>
      <c r="D33" s="34">
        <v>8</v>
      </c>
      <c r="E33" s="34">
        <v>2</v>
      </c>
      <c r="F33" s="34" t="s">
        <v>650</v>
      </c>
      <c r="G33" s="34" t="s">
        <v>112</v>
      </c>
      <c r="H33" s="34" t="s">
        <v>115</v>
      </c>
      <c r="I33" s="41" t="s">
        <v>638</v>
      </c>
      <c r="J33" s="34" t="s">
        <v>661</v>
      </c>
      <c r="K33" s="38">
        <v>1</v>
      </c>
      <c r="L33" s="38">
        <v>1</v>
      </c>
      <c r="M33" s="38">
        <v>1</v>
      </c>
      <c r="N33" s="38">
        <v>48</v>
      </c>
      <c r="O33" s="38">
        <v>2</v>
      </c>
      <c r="P33" s="37"/>
      <c r="Q33" s="37"/>
      <c r="R33" s="37"/>
      <c r="S33" s="37"/>
      <c r="V33" s="35">
        <v>75.8</v>
      </c>
      <c r="W33" s="35">
        <v>75.8</v>
      </c>
    </row>
    <row r="34" spans="1:23" x14ac:dyDescent="0.35">
      <c r="A34" s="37"/>
      <c r="B34" s="37"/>
      <c r="C34" s="34">
        <v>2023</v>
      </c>
      <c r="D34" s="34">
        <v>8</v>
      </c>
      <c r="E34" s="34">
        <v>2</v>
      </c>
      <c r="F34" s="34" t="s">
        <v>650</v>
      </c>
      <c r="G34" s="34" t="s">
        <v>112</v>
      </c>
      <c r="H34" s="34" t="s">
        <v>115</v>
      </c>
      <c r="I34" s="41" t="s">
        <v>657</v>
      </c>
      <c r="J34" s="34" t="s">
        <v>661</v>
      </c>
      <c r="K34" s="38">
        <v>1</v>
      </c>
      <c r="L34" s="38">
        <v>1</v>
      </c>
      <c r="M34" s="38">
        <v>1</v>
      </c>
      <c r="N34" s="38">
        <v>48</v>
      </c>
      <c r="O34" s="38">
        <v>2</v>
      </c>
      <c r="P34" s="37"/>
      <c r="Q34" s="37"/>
      <c r="R34" s="37"/>
      <c r="S34" s="37"/>
      <c r="V34" s="35">
        <v>45.19</v>
      </c>
      <c r="W34" s="35">
        <v>45.19</v>
      </c>
    </row>
    <row r="35" spans="1:23" x14ac:dyDescent="0.35">
      <c r="A35" s="37"/>
      <c r="B35" s="37"/>
      <c r="C35" s="34">
        <v>2023</v>
      </c>
      <c r="D35" s="34">
        <v>8</v>
      </c>
      <c r="E35" s="34">
        <v>2</v>
      </c>
      <c r="F35" s="34" t="s">
        <v>650</v>
      </c>
      <c r="G35" s="34" t="s">
        <v>112</v>
      </c>
      <c r="H35" s="34" t="s">
        <v>115</v>
      </c>
      <c r="I35" s="41" t="s">
        <v>658</v>
      </c>
      <c r="J35" s="34" t="s">
        <v>661</v>
      </c>
      <c r="K35" s="38">
        <v>1</v>
      </c>
      <c r="L35" s="38">
        <v>1</v>
      </c>
      <c r="M35" s="38">
        <v>1</v>
      </c>
      <c r="N35" s="38">
        <v>48</v>
      </c>
      <c r="O35" s="38">
        <v>2</v>
      </c>
      <c r="P35" s="37"/>
      <c r="Q35" s="37"/>
      <c r="R35" s="37"/>
      <c r="S35" s="37"/>
      <c r="V35" s="35">
        <v>62.7</v>
      </c>
      <c r="W35" s="35">
        <v>62.7</v>
      </c>
    </row>
    <row r="36" spans="1:23" x14ac:dyDescent="0.35">
      <c r="A36" s="37"/>
      <c r="B36" s="37"/>
      <c r="C36" s="34">
        <v>2023</v>
      </c>
      <c r="D36" s="34">
        <v>8</v>
      </c>
      <c r="E36" s="34">
        <v>2</v>
      </c>
      <c r="F36" s="34" t="s">
        <v>650</v>
      </c>
      <c r="G36" s="34" t="s">
        <v>112</v>
      </c>
      <c r="H36" s="34" t="s">
        <v>115</v>
      </c>
      <c r="I36" s="45" t="s">
        <v>659</v>
      </c>
      <c r="J36" s="34" t="s">
        <v>661</v>
      </c>
      <c r="K36" s="38">
        <v>1</v>
      </c>
      <c r="L36" s="38">
        <v>1</v>
      </c>
      <c r="M36" s="38">
        <v>1</v>
      </c>
      <c r="N36" s="38">
        <v>48</v>
      </c>
      <c r="O36" s="38">
        <v>2</v>
      </c>
      <c r="P36" s="37"/>
      <c r="Q36" s="37"/>
      <c r="R36" s="37"/>
      <c r="S36" s="37"/>
      <c r="V36" s="36">
        <v>95.23</v>
      </c>
      <c r="W36" s="36">
        <v>95.23</v>
      </c>
    </row>
    <row r="37" spans="1:23" x14ac:dyDescent="0.35">
      <c r="A37" s="37"/>
      <c r="B37" s="37"/>
      <c r="C37" s="34">
        <v>2023</v>
      </c>
      <c r="D37" s="34">
        <v>3</v>
      </c>
      <c r="E37" s="34">
        <v>3</v>
      </c>
      <c r="F37" s="34" t="s">
        <v>663</v>
      </c>
      <c r="G37" s="34" t="s">
        <v>112</v>
      </c>
      <c r="H37" s="34" t="s">
        <v>115</v>
      </c>
      <c r="I37" s="41" t="s">
        <v>660</v>
      </c>
      <c r="J37" s="34" t="s">
        <v>661</v>
      </c>
      <c r="K37" s="38">
        <v>1</v>
      </c>
      <c r="L37" s="38">
        <v>1</v>
      </c>
      <c r="M37" s="38">
        <v>1</v>
      </c>
      <c r="N37" s="38">
        <v>48</v>
      </c>
      <c r="O37" s="38">
        <v>2</v>
      </c>
      <c r="P37" s="37"/>
      <c r="Q37" s="35"/>
      <c r="R37" s="37"/>
      <c r="S37" s="37"/>
      <c r="V37" s="40">
        <v>34.92</v>
      </c>
      <c r="W37" s="37"/>
    </row>
    <row r="38" spans="1:23" x14ac:dyDescent="0.35">
      <c r="A38" s="37"/>
      <c r="B38" s="37"/>
      <c r="C38" s="34">
        <v>2023</v>
      </c>
      <c r="D38" s="34">
        <v>3</v>
      </c>
      <c r="E38" s="34">
        <v>3</v>
      </c>
      <c r="F38" s="34" t="s">
        <v>663</v>
      </c>
      <c r="G38" s="34" t="s">
        <v>112</v>
      </c>
      <c r="H38" s="34" t="s">
        <v>115</v>
      </c>
      <c r="I38" s="41" t="s">
        <v>662</v>
      </c>
      <c r="J38" s="34" t="s">
        <v>661</v>
      </c>
      <c r="K38" s="38">
        <v>1</v>
      </c>
      <c r="L38" s="38">
        <v>1</v>
      </c>
      <c r="M38" s="38">
        <v>1</v>
      </c>
      <c r="N38" s="38">
        <v>48</v>
      </c>
      <c r="O38" s="38">
        <v>2</v>
      </c>
      <c r="P38" s="37"/>
      <c r="Q38" s="35"/>
      <c r="R38" s="37"/>
      <c r="S38" s="37"/>
      <c r="V38" s="40">
        <v>107.87</v>
      </c>
      <c r="W38" s="37"/>
    </row>
    <row r="39" spans="1:23" x14ac:dyDescent="0.35">
      <c r="A39" s="37"/>
      <c r="B39" s="37"/>
      <c r="C39" s="34">
        <v>2023</v>
      </c>
      <c r="D39" s="34">
        <v>3</v>
      </c>
      <c r="E39" s="34">
        <v>3</v>
      </c>
      <c r="F39" s="34" t="s">
        <v>663</v>
      </c>
      <c r="G39" s="34" t="s">
        <v>112</v>
      </c>
      <c r="H39" s="34" t="s">
        <v>115</v>
      </c>
      <c r="I39" s="41" t="s">
        <v>648</v>
      </c>
      <c r="J39" s="34" t="s">
        <v>661</v>
      </c>
      <c r="K39" s="38">
        <v>1</v>
      </c>
      <c r="L39" s="38">
        <v>1</v>
      </c>
      <c r="M39" s="38">
        <v>1</v>
      </c>
      <c r="N39" s="38">
        <v>48</v>
      </c>
      <c r="O39" s="38">
        <v>2</v>
      </c>
      <c r="P39" s="37"/>
      <c r="Q39" s="35"/>
      <c r="R39" s="37"/>
      <c r="S39" s="37"/>
      <c r="V39" s="40">
        <v>35.020000000000003</v>
      </c>
      <c r="W39" s="37"/>
    </row>
    <row r="40" spans="1:23" x14ac:dyDescent="0.35">
      <c r="A40" s="37"/>
      <c r="B40" s="37"/>
      <c r="C40" s="34">
        <v>2023</v>
      </c>
      <c r="D40" s="34">
        <v>10</v>
      </c>
      <c r="E40" s="34">
        <v>4</v>
      </c>
      <c r="F40" s="34" t="s">
        <v>669</v>
      </c>
      <c r="G40" s="34" t="s">
        <v>112</v>
      </c>
      <c r="H40" s="34" t="s">
        <v>115</v>
      </c>
      <c r="I40" s="41" t="s">
        <v>631</v>
      </c>
      <c r="J40" s="34" t="s">
        <v>661</v>
      </c>
      <c r="K40" s="38">
        <v>1</v>
      </c>
      <c r="L40" s="38">
        <v>1</v>
      </c>
      <c r="M40" s="38">
        <v>1</v>
      </c>
      <c r="N40" s="38">
        <v>48</v>
      </c>
      <c r="O40" s="38">
        <v>2</v>
      </c>
      <c r="P40" s="37"/>
      <c r="Q40" s="35"/>
      <c r="R40" s="37"/>
      <c r="S40" s="37"/>
      <c r="V40" s="46">
        <v>98.66</v>
      </c>
      <c r="W40" s="37"/>
    </row>
    <row r="41" spans="1:23" x14ac:dyDescent="0.35">
      <c r="A41" s="37"/>
      <c r="B41" s="37"/>
      <c r="C41" s="34">
        <v>2023</v>
      </c>
      <c r="D41" s="34">
        <v>10</v>
      </c>
      <c r="E41" s="34">
        <v>4</v>
      </c>
      <c r="F41" s="34" t="s">
        <v>669</v>
      </c>
      <c r="G41" s="34" t="s">
        <v>112</v>
      </c>
      <c r="H41" s="34" t="s">
        <v>115</v>
      </c>
      <c r="I41" s="41" t="s">
        <v>664</v>
      </c>
      <c r="J41" s="34" t="s">
        <v>661</v>
      </c>
      <c r="K41" s="38">
        <v>1</v>
      </c>
      <c r="L41" s="38">
        <v>1</v>
      </c>
      <c r="M41" s="38">
        <v>1</v>
      </c>
      <c r="N41" s="38">
        <v>48</v>
      </c>
      <c r="O41" s="38">
        <v>2</v>
      </c>
      <c r="P41" s="37"/>
      <c r="Q41" s="35"/>
      <c r="R41" s="37"/>
      <c r="S41" s="37"/>
      <c r="V41" s="46">
        <v>63.51</v>
      </c>
      <c r="W41" s="37"/>
    </row>
    <row r="42" spans="1:23" x14ac:dyDescent="0.35">
      <c r="A42" s="37"/>
      <c r="B42" s="37"/>
      <c r="C42" s="34">
        <v>2023</v>
      </c>
      <c r="D42" s="34">
        <v>10</v>
      </c>
      <c r="E42" s="34">
        <v>4</v>
      </c>
      <c r="F42" s="34" t="s">
        <v>669</v>
      </c>
      <c r="G42" s="34" t="s">
        <v>112</v>
      </c>
      <c r="H42" s="34" t="s">
        <v>115</v>
      </c>
      <c r="I42" s="41" t="s">
        <v>665</v>
      </c>
      <c r="J42" s="34" t="s">
        <v>661</v>
      </c>
      <c r="K42" s="38">
        <v>1</v>
      </c>
      <c r="L42" s="38">
        <v>1</v>
      </c>
      <c r="M42" s="38">
        <v>1</v>
      </c>
      <c r="N42" s="38">
        <v>48</v>
      </c>
      <c r="O42" s="38">
        <v>2</v>
      </c>
      <c r="P42" s="37"/>
      <c r="Q42" s="35"/>
      <c r="R42" s="37"/>
      <c r="S42" s="37"/>
      <c r="V42" s="46">
        <v>78.239999999999995</v>
      </c>
      <c r="W42" s="37"/>
    </row>
    <row r="43" spans="1:23" x14ac:dyDescent="0.35">
      <c r="A43" s="37"/>
      <c r="B43" s="37"/>
      <c r="C43" s="34">
        <v>2023</v>
      </c>
      <c r="D43" s="34">
        <v>10</v>
      </c>
      <c r="E43" s="34">
        <v>4</v>
      </c>
      <c r="F43" s="34" t="s">
        <v>669</v>
      </c>
      <c r="G43" s="34" t="s">
        <v>112</v>
      </c>
      <c r="H43" s="34" t="s">
        <v>115</v>
      </c>
      <c r="I43" s="41" t="s">
        <v>646</v>
      </c>
      <c r="J43" s="34" t="s">
        <v>661</v>
      </c>
      <c r="K43" s="38">
        <v>1</v>
      </c>
      <c r="L43" s="38">
        <v>1</v>
      </c>
      <c r="M43" s="38">
        <v>1</v>
      </c>
      <c r="N43" s="38">
        <v>48</v>
      </c>
      <c r="O43" s="38">
        <v>2</v>
      </c>
      <c r="P43" s="37"/>
      <c r="Q43" s="35"/>
      <c r="R43" s="37"/>
      <c r="S43" s="37"/>
      <c r="V43" s="46">
        <v>53.39</v>
      </c>
      <c r="W43" s="37"/>
    </row>
    <row r="44" spans="1:23" ht="26" x14ac:dyDescent="0.35">
      <c r="A44" s="37"/>
      <c r="B44" s="37"/>
      <c r="C44" s="34">
        <v>2023</v>
      </c>
      <c r="D44" s="34">
        <v>10</v>
      </c>
      <c r="E44" s="34">
        <v>4</v>
      </c>
      <c r="F44" s="34" t="s">
        <v>669</v>
      </c>
      <c r="G44" s="34" t="s">
        <v>112</v>
      </c>
      <c r="H44" s="34" t="s">
        <v>115</v>
      </c>
      <c r="I44" s="43" t="s">
        <v>666</v>
      </c>
      <c r="J44" s="34" t="s">
        <v>661</v>
      </c>
      <c r="K44" s="38">
        <v>1</v>
      </c>
      <c r="L44" s="38">
        <v>1</v>
      </c>
      <c r="M44" s="38">
        <v>1</v>
      </c>
      <c r="N44" s="38">
        <v>48</v>
      </c>
      <c r="O44" s="38">
        <v>2</v>
      </c>
      <c r="P44" s="37"/>
      <c r="Q44" s="35"/>
      <c r="R44" s="37"/>
      <c r="S44" s="37"/>
      <c r="V44" s="46">
        <v>107.87</v>
      </c>
      <c r="W44" s="37"/>
    </row>
    <row r="45" spans="1:23" x14ac:dyDescent="0.35">
      <c r="A45" s="37"/>
      <c r="B45" s="37"/>
      <c r="C45" s="34">
        <v>2023</v>
      </c>
      <c r="D45" s="34">
        <v>10</v>
      </c>
      <c r="E45" s="34">
        <v>4</v>
      </c>
      <c r="F45" s="34" t="s">
        <v>669</v>
      </c>
      <c r="G45" s="34" t="s">
        <v>112</v>
      </c>
      <c r="H45" s="34" t="s">
        <v>115</v>
      </c>
      <c r="I45" s="41" t="s">
        <v>660</v>
      </c>
      <c r="J45" s="34" t="s">
        <v>661</v>
      </c>
      <c r="K45" s="38">
        <v>1</v>
      </c>
      <c r="L45" s="38">
        <v>1</v>
      </c>
      <c r="M45" s="38">
        <v>1</v>
      </c>
      <c r="N45" s="38">
        <v>48</v>
      </c>
      <c r="O45" s="38">
        <v>2</v>
      </c>
      <c r="P45" s="37"/>
      <c r="Q45" s="35"/>
      <c r="R45" s="37"/>
      <c r="S45" s="37"/>
      <c r="V45" s="46">
        <v>34.92</v>
      </c>
      <c r="W45" s="37"/>
    </row>
    <row r="46" spans="1:23" x14ac:dyDescent="0.35">
      <c r="A46" s="37"/>
      <c r="B46" s="37"/>
      <c r="C46" s="34">
        <v>2023</v>
      </c>
      <c r="D46" s="34">
        <v>10</v>
      </c>
      <c r="E46" s="34">
        <v>4</v>
      </c>
      <c r="F46" s="34" t="s">
        <v>669</v>
      </c>
      <c r="G46" s="34" t="s">
        <v>112</v>
      </c>
      <c r="H46" s="34" t="s">
        <v>115</v>
      </c>
      <c r="I46" s="41" t="s">
        <v>667</v>
      </c>
      <c r="J46" s="34" t="s">
        <v>661</v>
      </c>
      <c r="K46" s="38">
        <v>1</v>
      </c>
      <c r="L46" s="38">
        <v>1</v>
      </c>
      <c r="M46" s="38">
        <v>1</v>
      </c>
      <c r="N46" s="38">
        <v>48</v>
      </c>
      <c r="O46" s="38">
        <v>2</v>
      </c>
      <c r="P46" s="37"/>
      <c r="Q46" s="37"/>
      <c r="R46" s="37"/>
      <c r="S46" s="37"/>
      <c r="V46" s="46">
        <v>83</v>
      </c>
      <c r="W46" s="37"/>
    </row>
    <row r="47" spans="1:23" x14ac:dyDescent="0.35">
      <c r="A47" s="37"/>
      <c r="B47" s="37"/>
      <c r="C47" s="38">
        <v>2023</v>
      </c>
      <c r="D47" s="38">
        <v>10</v>
      </c>
      <c r="E47" s="38">
        <v>4</v>
      </c>
      <c r="F47" s="38" t="s">
        <v>669</v>
      </c>
      <c r="G47" s="34" t="s">
        <v>112</v>
      </c>
      <c r="H47" s="34" t="s">
        <v>115</v>
      </c>
      <c r="I47" s="43" t="s">
        <v>668</v>
      </c>
      <c r="J47" s="34" t="s">
        <v>661</v>
      </c>
      <c r="K47" s="38">
        <v>1</v>
      </c>
      <c r="L47" s="38">
        <v>1</v>
      </c>
      <c r="M47" s="38">
        <v>1</v>
      </c>
      <c r="N47" s="38">
        <v>48</v>
      </c>
      <c r="O47" s="38">
        <v>2</v>
      </c>
      <c r="P47" s="37"/>
      <c r="Q47" s="37"/>
      <c r="R47" s="37"/>
      <c r="S47" s="37"/>
      <c r="V47" s="46">
        <v>75.8</v>
      </c>
      <c r="W47" s="37"/>
    </row>
    <row r="48" spans="1:23" x14ac:dyDescent="0.35">
      <c r="A48" s="47"/>
      <c r="B48" s="47"/>
      <c r="C48" s="48">
        <v>2017</v>
      </c>
      <c r="D48" s="48">
        <v>8</v>
      </c>
      <c r="E48" s="48">
        <v>5</v>
      </c>
      <c r="F48" s="48" t="s">
        <v>675</v>
      </c>
      <c r="G48" s="34" t="s">
        <v>112</v>
      </c>
      <c r="H48" s="34" t="s">
        <v>115</v>
      </c>
      <c r="I48" s="49" t="s">
        <v>670</v>
      </c>
      <c r="J48" s="34" t="s">
        <v>661</v>
      </c>
      <c r="K48" s="38">
        <v>1</v>
      </c>
      <c r="L48" s="38">
        <v>1</v>
      </c>
      <c r="M48" s="38">
        <v>1</v>
      </c>
      <c r="N48" s="38">
        <v>48</v>
      </c>
      <c r="O48" s="38">
        <v>2</v>
      </c>
      <c r="P48" s="37"/>
      <c r="Q48" s="37"/>
      <c r="R48" s="37"/>
      <c r="S48" s="37"/>
      <c r="V48" s="49">
        <v>51.12</v>
      </c>
      <c r="W48" s="37"/>
    </row>
    <row r="49" spans="1:23" x14ac:dyDescent="0.35">
      <c r="A49" s="34"/>
      <c r="B49" s="34"/>
      <c r="C49" s="34">
        <v>2017</v>
      </c>
      <c r="D49" s="34">
        <v>8</v>
      </c>
      <c r="E49" s="34">
        <v>5</v>
      </c>
      <c r="F49" s="34" t="s">
        <v>675</v>
      </c>
      <c r="G49" s="34" t="s">
        <v>112</v>
      </c>
      <c r="H49" s="34" t="s">
        <v>115</v>
      </c>
      <c r="I49" s="49" t="s">
        <v>671</v>
      </c>
      <c r="J49" s="34" t="s">
        <v>661</v>
      </c>
      <c r="K49" s="38">
        <v>1</v>
      </c>
      <c r="L49" s="38">
        <v>1</v>
      </c>
      <c r="M49" s="38">
        <v>1</v>
      </c>
      <c r="N49" s="38">
        <v>48</v>
      </c>
      <c r="O49" s="38">
        <v>2</v>
      </c>
      <c r="P49" s="37"/>
      <c r="Q49" s="37"/>
      <c r="R49" s="37"/>
      <c r="S49" s="37"/>
      <c r="V49" s="49">
        <v>45.43</v>
      </c>
      <c r="W49" s="37"/>
    </row>
    <row r="50" spans="1:23" x14ac:dyDescent="0.35">
      <c r="A50" s="34"/>
      <c r="B50" s="34"/>
      <c r="C50" s="34">
        <v>2017</v>
      </c>
      <c r="D50" s="34">
        <v>8</v>
      </c>
      <c r="E50" s="34">
        <v>5</v>
      </c>
      <c r="F50" s="34" t="s">
        <v>675</v>
      </c>
      <c r="G50" s="34" t="s">
        <v>112</v>
      </c>
      <c r="H50" s="34" t="s">
        <v>115</v>
      </c>
      <c r="I50" s="49" t="s">
        <v>672</v>
      </c>
      <c r="J50" s="34" t="s">
        <v>661</v>
      </c>
      <c r="K50" s="38">
        <v>1</v>
      </c>
      <c r="L50" s="38">
        <v>1</v>
      </c>
      <c r="M50" s="38">
        <v>1</v>
      </c>
      <c r="N50" s="38">
        <v>48</v>
      </c>
      <c r="O50" s="38">
        <v>2</v>
      </c>
      <c r="P50" s="37"/>
      <c r="Q50" s="37"/>
      <c r="R50" s="37"/>
      <c r="S50" s="37"/>
      <c r="V50" s="49">
        <v>41.18</v>
      </c>
      <c r="W50" s="37"/>
    </row>
    <row r="51" spans="1:23" x14ac:dyDescent="0.35">
      <c r="A51" s="34"/>
      <c r="B51" s="34"/>
      <c r="C51" s="34">
        <v>2017</v>
      </c>
      <c r="D51" s="34">
        <v>8</v>
      </c>
      <c r="E51" s="34">
        <v>5</v>
      </c>
      <c r="F51" s="34" t="s">
        <v>675</v>
      </c>
      <c r="G51" s="34" t="s">
        <v>112</v>
      </c>
      <c r="H51" s="34" t="s">
        <v>115</v>
      </c>
      <c r="I51" s="49" t="s">
        <v>658</v>
      </c>
      <c r="J51" s="34" t="s">
        <v>661</v>
      </c>
      <c r="K51" s="38">
        <v>1</v>
      </c>
      <c r="L51" s="38">
        <v>1</v>
      </c>
      <c r="M51" s="38">
        <v>1</v>
      </c>
      <c r="N51" s="38">
        <v>48</v>
      </c>
      <c r="O51" s="38">
        <v>2</v>
      </c>
      <c r="P51" s="37"/>
      <c r="Q51" s="37"/>
      <c r="R51" s="37"/>
      <c r="S51" s="37"/>
      <c r="V51" s="49">
        <v>62.7</v>
      </c>
      <c r="W51" s="37"/>
    </row>
    <row r="52" spans="1:23" x14ac:dyDescent="0.35">
      <c r="A52" s="34"/>
      <c r="B52" s="34"/>
      <c r="C52" s="34">
        <v>2017</v>
      </c>
      <c r="D52" s="34">
        <v>8</v>
      </c>
      <c r="E52" s="34">
        <v>5</v>
      </c>
      <c r="F52" s="34" t="s">
        <v>675</v>
      </c>
      <c r="G52" s="34" t="s">
        <v>112</v>
      </c>
      <c r="H52" s="34" t="s">
        <v>115</v>
      </c>
      <c r="I52" s="49" t="s">
        <v>673</v>
      </c>
      <c r="J52" s="34" t="s">
        <v>661</v>
      </c>
      <c r="K52" s="38">
        <v>1</v>
      </c>
      <c r="L52" s="38">
        <v>1</v>
      </c>
      <c r="M52" s="38">
        <v>1</v>
      </c>
      <c r="N52" s="38">
        <v>48</v>
      </c>
      <c r="O52" s="38">
        <v>2</v>
      </c>
      <c r="P52" s="37"/>
      <c r="Q52" s="37"/>
      <c r="R52" s="37"/>
      <c r="S52" s="37"/>
      <c r="V52" s="49">
        <v>82.5</v>
      </c>
      <c r="W52" s="37"/>
    </row>
    <row r="53" spans="1:23" x14ac:dyDescent="0.35">
      <c r="A53" s="34"/>
      <c r="B53" s="34"/>
      <c r="C53" s="34">
        <v>2017</v>
      </c>
      <c r="D53" s="34">
        <v>8</v>
      </c>
      <c r="E53" s="34">
        <v>5</v>
      </c>
      <c r="F53" s="34" t="s">
        <v>675</v>
      </c>
      <c r="G53" s="34" t="s">
        <v>112</v>
      </c>
      <c r="H53" s="34" t="s">
        <v>115</v>
      </c>
      <c r="I53" s="49" t="s">
        <v>674</v>
      </c>
      <c r="J53" s="34" t="s">
        <v>661</v>
      </c>
      <c r="K53" s="38">
        <v>1</v>
      </c>
      <c r="L53" s="38">
        <v>1</v>
      </c>
      <c r="M53" s="38">
        <v>1</v>
      </c>
      <c r="N53" s="38">
        <v>48</v>
      </c>
      <c r="O53" s="38">
        <v>2</v>
      </c>
      <c r="P53" s="37"/>
      <c r="Q53" s="37"/>
      <c r="R53" s="37"/>
      <c r="S53" s="37"/>
      <c r="V53" s="49">
        <v>129.6</v>
      </c>
      <c r="W53" s="37"/>
    </row>
    <row r="54" spans="1:23" x14ac:dyDescent="0.35">
      <c r="A54" s="34"/>
      <c r="B54" s="34"/>
      <c r="C54" s="34">
        <v>2020</v>
      </c>
      <c r="D54" s="34">
        <v>1</v>
      </c>
      <c r="E54" s="34">
        <v>5</v>
      </c>
      <c r="F54" s="34" t="s">
        <v>675</v>
      </c>
      <c r="G54" s="34" t="s">
        <v>112</v>
      </c>
      <c r="H54" s="34" t="s">
        <v>115</v>
      </c>
      <c r="I54" s="34" t="s">
        <v>633</v>
      </c>
      <c r="J54" s="34" t="s">
        <v>661</v>
      </c>
      <c r="K54" s="38">
        <v>1</v>
      </c>
      <c r="L54" s="38">
        <v>1</v>
      </c>
      <c r="M54" s="38">
        <v>1</v>
      </c>
      <c r="N54" s="38">
        <v>48</v>
      </c>
      <c r="O54" s="38">
        <v>2</v>
      </c>
      <c r="P54" s="37"/>
      <c r="Q54" s="37"/>
      <c r="R54" s="37"/>
      <c r="S54" s="37"/>
      <c r="V54" s="34">
        <v>78.650000000000006</v>
      </c>
      <c r="W54" s="37"/>
    </row>
    <row r="55" spans="1:23" x14ac:dyDescent="0.35">
      <c r="A55" s="34"/>
      <c r="B55" s="34"/>
      <c r="C55" s="34">
        <v>2020</v>
      </c>
      <c r="D55" s="34">
        <v>1</v>
      </c>
      <c r="E55" s="34">
        <v>5</v>
      </c>
      <c r="F55" s="34" t="s">
        <v>675</v>
      </c>
      <c r="G55" s="34" t="s">
        <v>112</v>
      </c>
      <c r="H55" s="34" t="s">
        <v>115</v>
      </c>
      <c r="I55" s="34" t="s">
        <v>664</v>
      </c>
      <c r="J55" s="34" t="s">
        <v>661</v>
      </c>
      <c r="K55" s="38">
        <v>1</v>
      </c>
      <c r="L55" s="38">
        <v>1</v>
      </c>
      <c r="M55" s="38">
        <v>1</v>
      </c>
      <c r="N55" s="38">
        <v>48</v>
      </c>
      <c r="O55" s="38">
        <v>2</v>
      </c>
      <c r="P55" s="37"/>
      <c r="Q55" s="37"/>
      <c r="R55" s="37"/>
      <c r="S55" s="37"/>
      <c r="V55" s="34">
        <v>63.51</v>
      </c>
      <c r="W55" s="37"/>
    </row>
    <row r="56" spans="1:23" x14ac:dyDescent="0.35">
      <c r="A56" s="34"/>
      <c r="B56" s="34"/>
      <c r="C56" s="34">
        <v>2020</v>
      </c>
      <c r="D56" s="34">
        <v>1</v>
      </c>
      <c r="E56" s="34">
        <v>5</v>
      </c>
      <c r="F56" s="34" t="s">
        <v>675</v>
      </c>
      <c r="G56" s="34" t="s">
        <v>112</v>
      </c>
      <c r="H56" s="34" t="s">
        <v>115</v>
      </c>
      <c r="I56" s="34" t="s">
        <v>676</v>
      </c>
      <c r="J56" s="34" t="s">
        <v>661</v>
      </c>
      <c r="K56" s="38">
        <v>1</v>
      </c>
      <c r="L56" s="38">
        <v>1</v>
      </c>
      <c r="M56" s="38">
        <v>1</v>
      </c>
      <c r="N56" s="38">
        <v>48</v>
      </c>
      <c r="O56" s="38">
        <v>2</v>
      </c>
      <c r="P56" s="37"/>
      <c r="Q56" s="37"/>
      <c r="R56" s="37"/>
      <c r="S56" s="37"/>
      <c r="V56" s="34">
        <v>164.63</v>
      </c>
      <c r="W56" s="37"/>
    </row>
    <row r="57" spans="1:23" ht="23" x14ac:dyDescent="0.35">
      <c r="A57" s="34"/>
      <c r="B57" s="34"/>
      <c r="C57" s="34">
        <v>2020</v>
      </c>
      <c r="D57" s="34">
        <v>1</v>
      </c>
      <c r="E57" s="34">
        <v>5</v>
      </c>
      <c r="F57" s="34" t="s">
        <v>675</v>
      </c>
      <c r="G57" s="34" t="s">
        <v>112</v>
      </c>
      <c r="H57" s="34" t="s">
        <v>115</v>
      </c>
      <c r="I57" s="58" t="s">
        <v>677</v>
      </c>
      <c r="J57" s="34" t="s">
        <v>661</v>
      </c>
      <c r="K57" s="38">
        <v>1</v>
      </c>
      <c r="L57" s="38">
        <v>1</v>
      </c>
      <c r="M57" s="38">
        <v>1</v>
      </c>
      <c r="N57" s="38">
        <v>48</v>
      </c>
      <c r="O57" s="38">
        <v>2</v>
      </c>
      <c r="P57" s="37"/>
      <c r="Q57" s="37"/>
      <c r="R57" s="37"/>
      <c r="S57" s="37"/>
      <c r="V57" s="34">
        <v>107.87</v>
      </c>
      <c r="W57" s="37"/>
    </row>
    <row r="58" spans="1:23" ht="29" x14ac:dyDescent="0.35">
      <c r="A58" s="34"/>
      <c r="B58" s="34"/>
      <c r="C58" s="34">
        <v>2020</v>
      </c>
      <c r="D58" s="34">
        <v>1</v>
      </c>
      <c r="E58" s="34">
        <v>5</v>
      </c>
      <c r="F58" s="34" t="s">
        <v>675</v>
      </c>
      <c r="G58" s="34" t="s">
        <v>112</v>
      </c>
      <c r="H58" s="34" t="s">
        <v>115</v>
      </c>
      <c r="I58" s="49" t="s">
        <v>678</v>
      </c>
      <c r="J58" s="34" t="s">
        <v>661</v>
      </c>
      <c r="K58" s="38">
        <v>1</v>
      </c>
      <c r="L58" s="38">
        <v>1</v>
      </c>
      <c r="M58" s="38">
        <v>1</v>
      </c>
      <c r="N58" s="38">
        <v>48</v>
      </c>
      <c r="O58" s="38">
        <v>2</v>
      </c>
      <c r="P58" s="37"/>
      <c r="Q58" s="37"/>
      <c r="R58" s="37"/>
      <c r="S58" s="37"/>
      <c r="V58" s="34">
        <v>128.63999999999999</v>
      </c>
      <c r="W58" s="37"/>
    </row>
    <row r="59" spans="1:23" x14ac:dyDescent="0.35">
      <c r="A59" s="34"/>
      <c r="B59" s="34"/>
      <c r="C59" s="34">
        <v>2020</v>
      </c>
      <c r="D59" s="34">
        <v>1</v>
      </c>
      <c r="E59" s="34">
        <v>5</v>
      </c>
      <c r="F59" s="34" t="s">
        <v>675</v>
      </c>
      <c r="G59" s="34" t="s">
        <v>112</v>
      </c>
      <c r="H59" s="34" t="s">
        <v>115</v>
      </c>
      <c r="I59" s="34" t="s">
        <v>679</v>
      </c>
      <c r="J59" s="34" t="s">
        <v>661</v>
      </c>
      <c r="K59" s="38">
        <v>1</v>
      </c>
      <c r="L59" s="38">
        <v>1</v>
      </c>
      <c r="M59" s="38">
        <v>1</v>
      </c>
      <c r="N59" s="38">
        <v>48</v>
      </c>
      <c r="O59" s="38">
        <v>2</v>
      </c>
      <c r="P59" s="37"/>
      <c r="Q59" s="37"/>
      <c r="R59" s="37"/>
      <c r="S59" s="37"/>
      <c r="V59" s="34">
        <v>95.3</v>
      </c>
      <c r="W59" s="37"/>
    </row>
    <row r="60" spans="1:23" ht="29" x14ac:dyDescent="0.35">
      <c r="A60" s="34"/>
      <c r="B60" s="34"/>
      <c r="C60" s="34">
        <v>2020</v>
      </c>
      <c r="D60" s="34">
        <v>1</v>
      </c>
      <c r="E60" s="34">
        <v>5</v>
      </c>
      <c r="F60" s="34" t="s">
        <v>675</v>
      </c>
      <c r="G60" s="34" t="s">
        <v>112</v>
      </c>
      <c r="H60" s="34" t="s">
        <v>115</v>
      </c>
      <c r="I60" s="49" t="s">
        <v>680</v>
      </c>
      <c r="J60" s="34" t="s">
        <v>661</v>
      </c>
      <c r="K60" s="38">
        <v>1</v>
      </c>
      <c r="L60" s="38">
        <v>1</v>
      </c>
      <c r="M60" s="38">
        <v>1</v>
      </c>
      <c r="N60" s="38">
        <v>48</v>
      </c>
      <c r="O60" s="38">
        <v>2</v>
      </c>
      <c r="P60" s="37"/>
      <c r="Q60" s="37"/>
      <c r="R60" s="37"/>
      <c r="S60" s="37"/>
      <c r="V60" s="34">
        <v>123.5</v>
      </c>
      <c r="W60" s="37"/>
    </row>
    <row r="61" spans="1:23" x14ac:dyDescent="0.35">
      <c r="A61" s="34"/>
      <c r="B61" s="34"/>
      <c r="C61" s="34">
        <v>2020</v>
      </c>
      <c r="D61" s="34">
        <v>1</v>
      </c>
      <c r="E61" s="34">
        <v>5</v>
      </c>
      <c r="F61" s="34" t="s">
        <v>675</v>
      </c>
      <c r="G61" s="34" t="s">
        <v>112</v>
      </c>
      <c r="H61" s="34" t="s">
        <v>115</v>
      </c>
      <c r="I61" s="58" t="s">
        <v>681</v>
      </c>
      <c r="J61" s="34" t="s">
        <v>661</v>
      </c>
      <c r="K61" s="38">
        <v>1</v>
      </c>
      <c r="L61" s="38">
        <v>1</v>
      </c>
      <c r="M61" s="38">
        <v>1</v>
      </c>
      <c r="N61" s="38">
        <v>48</v>
      </c>
      <c r="O61" s="38">
        <v>2</v>
      </c>
      <c r="P61" s="37"/>
      <c r="Q61" s="37"/>
      <c r="R61" s="37"/>
      <c r="S61" s="37"/>
      <c r="V61" s="34">
        <v>34.92</v>
      </c>
      <c r="W61" s="37"/>
    </row>
    <row r="62" spans="1:23" x14ac:dyDescent="0.35">
      <c r="A62" s="34"/>
      <c r="B62" s="34"/>
      <c r="C62" s="34">
        <v>2020</v>
      </c>
      <c r="D62" s="34">
        <v>1</v>
      </c>
      <c r="E62" s="34">
        <v>5</v>
      </c>
      <c r="F62" s="34" t="s">
        <v>675</v>
      </c>
      <c r="G62" s="34" t="s">
        <v>112</v>
      </c>
      <c r="H62" s="34" t="s">
        <v>115</v>
      </c>
      <c r="I62" s="58" t="s">
        <v>682</v>
      </c>
      <c r="J62" s="34" t="s">
        <v>661</v>
      </c>
      <c r="K62" s="38">
        <v>1</v>
      </c>
      <c r="L62" s="38">
        <v>1</v>
      </c>
      <c r="M62" s="38">
        <v>1</v>
      </c>
      <c r="N62" s="38">
        <v>48</v>
      </c>
      <c r="O62" s="38">
        <v>2</v>
      </c>
      <c r="P62" s="37"/>
      <c r="Q62" s="37"/>
      <c r="R62" s="37"/>
      <c r="S62" s="37"/>
      <c r="V62" s="34">
        <v>89.22</v>
      </c>
      <c r="W62" s="37"/>
    </row>
    <row r="63" spans="1:23" x14ac:dyDescent="0.35">
      <c r="A63" s="34"/>
      <c r="B63" s="34"/>
      <c r="C63" s="34">
        <v>2020</v>
      </c>
      <c r="D63" s="34">
        <v>1</v>
      </c>
      <c r="E63" s="34">
        <v>5</v>
      </c>
      <c r="F63" s="34" t="s">
        <v>675</v>
      </c>
      <c r="G63" s="34" t="s">
        <v>112</v>
      </c>
      <c r="H63" s="34" t="s">
        <v>115</v>
      </c>
      <c r="I63" s="34" t="s">
        <v>683</v>
      </c>
      <c r="J63" s="34" t="s">
        <v>661</v>
      </c>
      <c r="K63" s="38">
        <v>1</v>
      </c>
      <c r="L63" s="38">
        <v>1</v>
      </c>
      <c r="M63" s="38">
        <v>1</v>
      </c>
      <c r="N63" s="38">
        <v>48</v>
      </c>
      <c r="O63" s="38">
        <v>2</v>
      </c>
      <c r="P63" s="37"/>
      <c r="Q63" s="37"/>
      <c r="R63" s="37"/>
      <c r="S63" s="37"/>
      <c r="V63" s="34">
        <v>95.23</v>
      </c>
      <c r="W63" s="37"/>
    </row>
    <row r="64" spans="1:23" x14ac:dyDescent="0.35">
      <c r="A64" s="34"/>
      <c r="B64" s="34"/>
      <c r="C64" s="34">
        <v>2020</v>
      </c>
      <c r="D64" s="34">
        <v>1</v>
      </c>
      <c r="E64" s="34">
        <v>5</v>
      </c>
      <c r="F64" s="34" t="s">
        <v>675</v>
      </c>
      <c r="G64" s="34" t="s">
        <v>112</v>
      </c>
      <c r="H64" s="34" t="s">
        <v>115</v>
      </c>
      <c r="I64" s="58" t="s">
        <v>684</v>
      </c>
      <c r="J64" s="34" t="s">
        <v>661</v>
      </c>
      <c r="K64" s="38">
        <v>1</v>
      </c>
      <c r="L64" s="38">
        <v>1</v>
      </c>
      <c r="M64" s="38">
        <v>1</v>
      </c>
      <c r="N64" s="38">
        <v>48</v>
      </c>
      <c r="O64" s="38">
        <v>2</v>
      </c>
      <c r="P64" s="37"/>
      <c r="Q64" s="37"/>
      <c r="R64" s="37"/>
      <c r="S64" s="37"/>
      <c r="V64" s="34">
        <v>130.91999999999999</v>
      </c>
      <c r="W64" s="37"/>
    </row>
    <row r="65" spans="1:23" x14ac:dyDescent="0.35">
      <c r="A65" s="34"/>
      <c r="B65" s="34"/>
      <c r="C65" s="34">
        <v>2020</v>
      </c>
      <c r="D65" s="34">
        <v>1</v>
      </c>
      <c r="E65" s="34">
        <v>5</v>
      </c>
      <c r="F65" s="34" t="s">
        <v>675</v>
      </c>
      <c r="G65" s="34" t="s">
        <v>112</v>
      </c>
      <c r="H65" s="34" t="s">
        <v>115</v>
      </c>
      <c r="I65" s="58" t="s">
        <v>685</v>
      </c>
      <c r="J65" s="34" t="s">
        <v>661</v>
      </c>
      <c r="K65" s="38">
        <v>1</v>
      </c>
      <c r="L65" s="38">
        <v>1</v>
      </c>
      <c r="M65" s="38">
        <v>1</v>
      </c>
      <c r="N65" s="38">
        <v>48</v>
      </c>
      <c r="O65" s="38">
        <v>2</v>
      </c>
      <c r="P65" s="37"/>
      <c r="Q65" s="37"/>
      <c r="R65" s="37"/>
      <c r="S65" s="37"/>
      <c r="V65" s="34">
        <v>75.430000000000007</v>
      </c>
      <c r="W65" s="37"/>
    </row>
    <row r="66" spans="1:23" x14ac:dyDescent="0.35">
      <c r="A66" s="34"/>
      <c r="B66" s="34"/>
      <c r="C66" s="34">
        <v>2020</v>
      </c>
      <c r="D66" s="34">
        <v>1</v>
      </c>
      <c r="E66" s="34">
        <v>5</v>
      </c>
      <c r="F66" s="34" t="s">
        <v>675</v>
      </c>
      <c r="G66" s="34" t="s">
        <v>112</v>
      </c>
      <c r="H66" s="34" t="s">
        <v>115</v>
      </c>
      <c r="I66" s="58" t="s">
        <v>686</v>
      </c>
      <c r="J66" s="34" t="s">
        <v>661</v>
      </c>
      <c r="K66" s="38">
        <v>1</v>
      </c>
      <c r="L66" s="38">
        <v>1</v>
      </c>
      <c r="M66" s="38">
        <v>1</v>
      </c>
      <c r="N66" s="38">
        <v>48</v>
      </c>
      <c r="O66" s="38">
        <v>2</v>
      </c>
      <c r="P66" s="37"/>
      <c r="Q66" s="37"/>
      <c r="R66" s="37"/>
      <c r="S66" s="37"/>
      <c r="V66" s="34">
        <v>64.48</v>
      </c>
      <c r="W66" s="37"/>
    </row>
    <row r="67" spans="1:23" x14ac:dyDescent="0.35">
      <c r="A67" s="34"/>
      <c r="B67" s="34"/>
      <c r="C67" s="34">
        <v>2020</v>
      </c>
      <c r="D67" s="34">
        <v>1</v>
      </c>
      <c r="E67" s="34">
        <v>5</v>
      </c>
      <c r="F67" s="34" t="s">
        <v>675</v>
      </c>
      <c r="G67" s="34" t="s">
        <v>112</v>
      </c>
      <c r="H67" s="34" t="s">
        <v>115</v>
      </c>
      <c r="I67" s="58" t="s">
        <v>687</v>
      </c>
      <c r="J67" s="34" t="s">
        <v>661</v>
      </c>
      <c r="K67" s="38">
        <v>1</v>
      </c>
      <c r="L67" s="38">
        <v>1</v>
      </c>
      <c r="M67" s="38">
        <v>1</v>
      </c>
      <c r="N67" s="38">
        <v>48</v>
      </c>
      <c r="O67" s="38">
        <v>2</v>
      </c>
      <c r="P67" s="37"/>
      <c r="Q67" s="37"/>
      <c r="R67" s="37"/>
      <c r="S67" s="37"/>
      <c r="V67" s="34">
        <v>67.150000000000006</v>
      </c>
      <c r="W67" s="37"/>
    </row>
    <row r="68" spans="1:23" x14ac:dyDescent="0.35">
      <c r="A68" s="34"/>
      <c r="B68" s="34"/>
      <c r="C68" s="34">
        <v>2020</v>
      </c>
      <c r="D68" s="34">
        <v>1</v>
      </c>
      <c r="E68" s="34">
        <v>5</v>
      </c>
      <c r="F68" s="34" t="s">
        <v>675</v>
      </c>
      <c r="G68" s="34" t="s">
        <v>112</v>
      </c>
      <c r="H68" s="34" t="s">
        <v>115</v>
      </c>
      <c r="I68" s="34" t="s">
        <v>688</v>
      </c>
      <c r="J68" s="34" t="s">
        <v>661</v>
      </c>
      <c r="K68" s="38">
        <v>1</v>
      </c>
      <c r="L68" s="38">
        <v>1</v>
      </c>
      <c r="M68" s="38">
        <v>1</v>
      </c>
      <c r="N68" s="38">
        <v>48</v>
      </c>
      <c r="O68" s="38">
        <v>2</v>
      </c>
      <c r="P68" s="37"/>
      <c r="Q68" s="37"/>
      <c r="R68" s="37"/>
      <c r="S68" s="37"/>
      <c r="V68" s="34">
        <v>122.61</v>
      </c>
      <c r="W68" s="37"/>
    </row>
    <row r="69" spans="1:23" x14ac:dyDescent="0.35">
      <c r="A69" s="34"/>
      <c r="B69" s="34"/>
      <c r="C69" s="34">
        <v>2020</v>
      </c>
      <c r="D69" s="34">
        <v>1</v>
      </c>
      <c r="E69" s="34">
        <v>5</v>
      </c>
      <c r="F69" s="34" t="s">
        <v>675</v>
      </c>
      <c r="G69" s="34" t="s">
        <v>112</v>
      </c>
      <c r="H69" s="34" t="s">
        <v>115</v>
      </c>
      <c r="I69" s="58" t="s">
        <v>689</v>
      </c>
      <c r="J69" s="34" t="s">
        <v>661</v>
      </c>
      <c r="K69" s="38">
        <v>1</v>
      </c>
      <c r="L69" s="38">
        <v>1</v>
      </c>
      <c r="M69" s="38">
        <v>1</v>
      </c>
      <c r="N69" s="38">
        <v>48</v>
      </c>
      <c r="O69" s="38">
        <v>2</v>
      </c>
      <c r="P69" s="37"/>
      <c r="Q69" s="37"/>
      <c r="R69" s="37"/>
      <c r="S69" s="37"/>
      <c r="V69" s="34">
        <v>31.08</v>
      </c>
      <c r="W69" s="37"/>
    </row>
    <row r="70" spans="1:23" x14ac:dyDescent="0.35">
      <c r="A70" s="34"/>
      <c r="B70" s="34"/>
      <c r="C70" s="34">
        <v>2020</v>
      </c>
      <c r="D70" s="34">
        <v>1</v>
      </c>
      <c r="E70" s="34">
        <v>5</v>
      </c>
      <c r="F70" s="34" t="s">
        <v>675</v>
      </c>
      <c r="G70" s="34" t="s">
        <v>112</v>
      </c>
      <c r="H70" s="34" t="s">
        <v>115</v>
      </c>
      <c r="I70" s="58" t="s">
        <v>690</v>
      </c>
      <c r="J70" s="34" t="s">
        <v>661</v>
      </c>
      <c r="K70" s="38">
        <v>1</v>
      </c>
      <c r="L70" s="38">
        <v>1</v>
      </c>
      <c r="M70" s="38">
        <v>1</v>
      </c>
      <c r="N70" s="38">
        <v>48</v>
      </c>
      <c r="O70" s="38">
        <v>2</v>
      </c>
      <c r="P70" s="37"/>
      <c r="Q70" s="37"/>
      <c r="R70" s="37"/>
      <c r="S70" s="37"/>
      <c r="V70" s="34">
        <v>78.36</v>
      </c>
      <c r="W70" s="37"/>
    </row>
    <row r="71" spans="1:23" ht="23" x14ac:dyDescent="0.35">
      <c r="A71" s="34"/>
      <c r="B71" s="34"/>
      <c r="C71" s="34">
        <v>2020</v>
      </c>
      <c r="D71" s="34">
        <v>1</v>
      </c>
      <c r="E71" s="34">
        <v>5</v>
      </c>
      <c r="F71" s="34" t="s">
        <v>675</v>
      </c>
      <c r="G71" s="34" t="s">
        <v>112</v>
      </c>
      <c r="H71" s="34" t="s">
        <v>115</v>
      </c>
      <c r="I71" s="58" t="s">
        <v>691</v>
      </c>
      <c r="J71" s="34" t="s">
        <v>661</v>
      </c>
      <c r="K71" s="38">
        <v>1</v>
      </c>
      <c r="L71" s="38">
        <v>1</v>
      </c>
      <c r="M71" s="38">
        <v>1</v>
      </c>
      <c r="N71" s="38">
        <v>48</v>
      </c>
      <c r="O71" s="38">
        <v>2</v>
      </c>
      <c r="P71" s="37"/>
      <c r="Q71" s="37"/>
      <c r="R71" s="37"/>
      <c r="S71" s="37"/>
      <c r="V71" s="34">
        <v>158.80000000000001</v>
      </c>
      <c r="W71" s="37"/>
    </row>
    <row r="72" spans="1:23" x14ac:dyDescent="0.35">
      <c r="A72" s="34"/>
      <c r="B72" s="34"/>
      <c r="C72" s="34">
        <v>2020</v>
      </c>
      <c r="D72" s="34">
        <v>1</v>
      </c>
      <c r="E72" s="34">
        <v>5</v>
      </c>
      <c r="F72" s="34" t="s">
        <v>675</v>
      </c>
      <c r="G72" s="34" t="s">
        <v>112</v>
      </c>
      <c r="H72" s="34" t="s">
        <v>115</v>
      </c>
      <c r="I72" s="50" t="s">
        <v>692</v>
      </c>
      <c r="J72" s="34" t="s">
        <v>661</v>
      </c>
      <c r="K72" s="38">
        <v>1</v>
      </c>
      <c r="L72" s="38">
        <v>1</v>
      </c>
      <c r="M72" s="38">
        <v>1</v>
      </c>
      <c r="N72" s="38">
        <v>48</v>
      </c>
      <c r="O72" s="38">
        <v>2</v>
      </c>
      <c r="P72" s="37"/>
      <c r="Q72" s="37"/>
      <c r="R72" s="37"/>
      <c r="S72" s="37"/>
      <c r="V72" s="51">
        <v>24.5</v>
      </c>
      <c r="W72" s="37"/>
    </row>
    <row r="73" spans="1:23" x14ac:dyDescent="0.35">
      <c r="A73" s="37"/>
      <c r="B73" s="37"/>
      <c r="C73" s="52">
        <v>2020</v>
      </c>
      <c r="D73" s="38">
        <v>1</v>
      </c>
      <c r="E73" s="38">
        <v>5</v>
      </c>
      <c r="F73" s="38" t="s">
        <v>675</v>
      </c>
      <c r="G73" s="34" t="s">
        <v>112</v>
      </c>
      <c r="H73" s="34" t="s">
        <v>115</v>
      </c>
      <c r="I73" s="50" t="s">
        <v>693</v>
      </c>
      <c r="J73" s="34" t="s">
        <v>661</v>
      </c>
      <c r="K73" s="38">
        <v>1</v>
      </c>
      <c r="L73" s="38">
        <v>1</v>
      </c>
      <c r="M73" s="38">
        <v>1</v>
      </c>
      <c r="N73" s="38">
        <v>48</v>
      </c>
      <c r="O73" s="38">
        <v>2</v>
      </c>
      <c r="P73" s="37"/>
      <c r="Q73" s="37"/>
      <c r="R73" s="37"/>
      <c r="S73" s="37"/>
      <c r="V73" s="51">
        <v>43.316000000000003</v>
      </c>
      <c r="W73" s="37"/>
    </row>
    <row r="74" spans="1:23" x14ac:dyDescent="0.35">
      <c r="A74" s="56"/>
      <c r="B74" s="56"/>
      <c r="C74" s="55">
        <v>2024</v>
      </c>
      <c r="D74" s="55">
        <v>4</v>
      </c>
      <c r="E74" s="38">
        <v>5</v>
      </c>
      <c r="F74" s="38" t="s">
        <v>675</v>
      </c>
      <c r="G74" s="34" t="s">
        <v>112</v>
      </c>
      <c r="H74" s="34" t="s">
        <v>115</v>
      </c>
      <c r="I74" s="40" t="s">
        <v>694</v>
      </c>
      <c r="J74" s="34" t="s">
        <v>661</v>
      </c>
      <c r="K74" s="38">
        <v>1</v>
      </c>
      <c r="L74" s="38">
        <v>1</v>
      </c>
      <c r="M74" s="38">
        <v>1</v>
      </c>
      <c r="N74" s="38">
        <v>48</v>
      </c>
      <c r="O74" s="38">
        <v>2</v>
      </c>
      <c r="P74" s="37"/>
      <c r="Q74" s="37"/>
      <c r="R74" s="37"/>
      <c r="S74" s="37"/>
      <c r="V74" s="53">
        <v>51.12</v>
      </c>
      <c r="W74" s="37"/>
    </row>
    <row r="75" spans="1:23" x14ac:dyDescent="0.35">
      <c r="A75" s="37"/>
      <c r="B75" s="37"/>
      <c r="C75" s="57">
        <v>2024</v>
      </c>
      <c r="D75" s="57">
        <v>4</v>
      </c>
      <c r="E75" s="38">
        <v>5</v>
      </c>
      <c r="F75" s="38" t="s">
        <v>675</v>
      </c>
      <c r="G75" s="34" t="s">
        <v>112</v>
      </c>
      <c r="H75" s="34" t="s">
        <v>115</v>
      </c>
      <c r="I75" s="41" t="s">
        <v>695</v>
      </c>
      <c r="J75" s="34" t="s">
        <v>661</v>
      </c>
      <c r="K75" s="38">
        <v>1</v>
      </c>
      <c r="L75" s="38">
        <v>1</v>
      </c>
      <c r="M75" s="38">
        <v>1</v>
      </c>
      <c r="N75" s="38">
        <v>48</v>
      </c>
      <c r="O75" s="38">
        <v>2</v>
      </c>
      <c r="P75" s="37"/>
      <c r="Q75" s="37"/>
      <c r="R75" s="37"/>
      <c r="S75" s="37"/>
      <c r="V75" s="53">
        <v>45.19</v>
      </c>
      <c r="W75" s="37"/>
    </row>
    <row r="76" spans="1:23" x14ac:dyDescent="0.35">
      <c r="A76" s="37"/>
      <c r="B76" s="37"/>
      <c r="C76" s="57">
        <v>2024</v>
      </c>
      <c r="D76" s="57">
        <v>4</v>
      </c>
      <c r="E76" s="38">
        <v>5</v>
      </c>
      <c r="F76" s="38" t="s">
        <v>675</v>
      </c>
      <c r="G76" s="34" t="s">
        <v>112</v>
      </c>
      <c r="H76" s="34" t="s">
        <v>115</v>
      </c>
      <c r="I76" s="40" t="s">
        <v>648</v>
      </c>
      <c r="J76" s="34" t="s">
        <v>661</v>
      </c>
      <c r="K76" s="38">
        <v>1</v>
      </c>
      <c r="L76" s="38">
        <v>1</v>
      </c>
      <c r="M76" s="38">
        <v>1</v>
      </c>
      <c r="N76" s="38">
        <v>48</v>
      </c>
      <c r="O76" s="38">
        <v>2</v>
      </c>
      <c r="P76" s="37"/>
      <c r="Q76" s="37"/>
      <c r="R76" s="37"/>
      <c r="S76" s="37"/>
      <c r="V76" s="53">
        <v>35.020000000000003</v>
      </c>
      <c r="W76" s="37"/>
    </row>
    <row r="77" spans="1:23" x14ac:dyDescent="0.35">
      <c r="A77" s="37"/>
      <c r="B77" s="37"/>
      <c r="C77" s="57">
        <v>2024</v>
      </c>
      <c r="D77" s="57">
        <v>4</v>
      </c>
      <c r="E77" s="38">
        <v>5</v>
      </c>
      <c r="F77" s="38" t="s">
        <v>675</v>
      </c>
      <c r="G77" s="34" t="s">
        <v>112</v>
      </c>
      <c r="H77" s="34" t="s">
        <v>115</v>
      </c>
      <c r="I77" s="40" t="s">
        <v>696</v>
      </c>
      <c r="J77" s="34" t="s">
        <v>661</v>
      </c>
      <c r="K77" s="38">
        <v>1</v>
      </c>
      <c r="L77" s="38">
        <v>1</v>
      </c>
      <c r="M77" s="38">
        <v>1</v>
      </c>
      <c r="N77" s="38">
        <v>48</v>
      </c>
      <c r="O77" s="38">
        <v>2</v>
      </c>
      <c r="P77" s="37"/>
      <c r="Q77" s="37"/>
      <c r="R77" s="37"/>
      <c r="S77" s="37"/>
      <c r="V77" s="53">
        <v>101.59</v>
      </c>
      <c r="W77" s="37"/>
    </row>
    <row r="78" spans="1:23" x14ac:dyDescent="0.35">
      <c r="A78" s="37"/>
      <c r="B78" s="37"/>
      <c r="C78" s="57">
        <v>2024</v>
      </c>
      <c r="D78" s="57">
        <v>4</v>
      </c>
      <c r="E78" s="38">
        <v>5</v>
      </c>
      <c r="F78" s="38" t="s">
        <v>675</v>
      </c>
      <c r="G78" s="34" t="s">
        <v>112</v>
      </c>
      <c r="H78" s="34" t="s">
        <v>115</v>
      </c>
      <c r="I78" s="54" t="s">
        <v>697</v>
      </c>
      <c r="J78" s="34" t="s">
        <v>661</v>
      </c>
      <c r="K78" s="38">
        <v>1</v>
      </c>
      <c r="L78" s="38">
        <v>1</v>
      </c>
      <c r="M78" s="38">
        <v>1</v>
      </c>
      <c r="N78" s="38">
        <v>48</v>
      </c>
      <c r="O78" s="38">
        <v>2</v>
      </c>
      <c r="P78" s="37"/>
      <c r="Q78" s="37"/>
      <c r="R78" s="37"/>
      <c r="S78" s="37"/>
      <c r="V78" s="53">
        <v>47.56</v>
      </c>
      <c r="W78" s="37"/>
    </row>
    <row r="79" spans="1:23" x14ac:dyDescent="0.35">
      <c r="A79" s="47"/>
      <c r="B79" s="37"/>
      <c r="C79" s="57">
        <v>2019</v>
      </c>
      <c r="D79" s="57">
        <v>12</v>
      </c>
      <c r="E79" s="61">
        <v>6</v>
      </c>
      <c r="F79" s="61" t="s">
        <v>698</v>
      </c>
      <c r="G79" s="34" t="s">
        <v>112</v>
      </c>
      <c r="H79" s="34" t="s">
        <v>115</v>
      </c>
      <c r="I79" s="38" t="s">
        <v>658</v>
      </c>
      <c r="J79" s="34" t="s">
        <v>661</v>
      </c>
      <c r="K79" s="38">
        <v>1</v>
      </c>
      <c r="L79" s="38">
        <v>1</v>
      </c>
      <c r="M79" s="38">
        <v>1</v>
      </c>
      <c r="N79" s="38">
        <v>48</v>
      </c>
      <c r="O79" s="38">
        <v>2</v>
      </c>
      <c r="P79" s="37"/>
      <c r="Q79" s="37"/>
      <c r="R79" s="37"/>
      <c r="S79" s="37"/>
      <c r="V79" s="59">
        <v>62.7</v>
      </c>
      <c r="W79" s="37"/>
    </row>
    <row r="82" spans="2:22" x14ac:dyDescent="0.35">
      <c r="B82" s="2" t="s">
        <v>0</v>
      </c>
    </row>
    <row r="83" spans="2:22" x14ac:dyDescent="0.35">
      <c r="B83" s="2" t="s">
        <v>90</v>
      </c>
    </row>
    <row r="84" spans="2:22" x14ac:dyDescent="0.35">
      <c r="B84" s="2" t="s">
        <v>94</v>
      </c>
    </row>
    <row r="85" spans="2:22" x14ac:dyDescent="0.35">
      <c r="V85" s="62"/>
    </row>
    <row r="86" spans="2:22" x14ac:dyDescent="0.35">
      <c r="V86" s="62"/>
    </row>
    <row r="87" spans="2:22" x14ac:dyDescent="0.35">
      <c r="V87" s="62"/>
    </row>
    <row r="88" spans="2:22" x14ac:dyDescent="0.35">
      <c r="V88" s="62"/>
    </row>
    <row r="89" spans="2:22" x14ac:dyDescent="0.35">
      <c r="V89" s="62"/>
    </row>
    <row r="90" spans="2:22" x14ac:dyDescent="0.35">
      <c r="V90" s="62"/>
    </row>
    <row r="91" spans="2:22" x14ac:dyDescent="0.35">
      <c r="V91" s="62"/>
    </row>
    <row r="92" spans="2:22" x14ac:dyDescent="0.35">
      <c r="V92" s="62"/>
    </row>
    <row r="93" spans="2:22" x14ac:dyDescent="0.35">
      <c r="V93" s="62"/>
    </row>
    <row r="94" spans="2:22" x14ac:dyDescent="0.35">
      <c r="V94" s="62"/>
    </row>
    <row r="95" spans="2:22" x14ac:dyDescent="0.35">
      <c r="V95" s="62"/>
    </row>
    <row r="96" spans="2:22" x14ac:dyDescent="0.35">
      <c r="V96" s="62"/>
    </row>
    <row r="97" spans="22:22" x14ac:dyDescent="0.35">
      <c r="V97" s="62"/>
    </row>
    <row r="98" spans="22:22" x14ac:dyDescent="0.35">
      <c r="V98" s="62"/>
    </row>
    <row r="99" spans="22:22" x14ac:dyDescent="0.35">
      <c r="V99" s="62"/>
    </row>
    <row r="100" spans="22:22" x14ac:dyDescent="0.35">
      <c r="V100" s="62"/>
    </row>
    <row r="101" spans="22:22" x14ac:dyDescent="0.35">
      <c r="V101" s="62"/>
    </row>
    <row r="102" spans="22:22" x14ac:dyDescent="0.35">
      <c r="V102" s="62"/>
    </row>
    <row r="103" spans="22:22" x14ac:dyDescent="0.35">
      <c r="V103" s="47"/>
    </row>
    <row r="104" spans="22:22" x14ac:dyDescent="0.35">
      <c r="V104" s="47"/>
    </row>
  </sheetData>
  <mergeCells count="1">
    <mergeCell ref="A2:S2"/>
  </mergeCells>
  <pageMargins left="0.7" right="0.7" top="0.75" bottom="0.75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21" zoomScale="55" zoomScaleNormal="55" workbookViewId="0">
      <selection activeCell="B4" sqref="B4:G41"/>
    </sheetView>
  </sheetViews>
  <sheetFormatPr defaultColWidth="9.1796875" defaultRowHeight="14.5" x14ac:dyDescent="0.35"/>
  <cols>
    <col min="1" max="1" width="9.1796875" style="3"/>
    <col min="2" max="2" width="9.1796875" style="3" customWidth="1"/>
    <col min="3" max="3" width="23.81640625" style="3" customWidth="1"/>
    <col min="4" max="4" width="58.81640625" style="3" bestFit="1" customWidth="1"/>
    <col min="5" max="5" width="112.81640625" style="3" customWidth="1"/>
    <col min="6" max="6" width="99.1796875" style="3" customWidth="1"/>
    <col min="7" max="7" width="65.453125" style="3" customWidth="1"/>
    <col min="8" max="16384" width="9.1796875" style="3"/>
  </cols>
  <sheetData>
    <row r="1" spans="2:7" ht="23.5" x14ac:dyDescent="0.35">
      <c r="B1" s="84" t="s">
        <v>98</v>
      </c>
      <c r="C1" s="84"/>
      <c r="D1" s="84"/>
      <c r="E1" s="84"/>
      <c r="F1" s="84"/>
      <c r="G1" s="84"/>
    </row>
    <row r="4" spans="2:7" ht="18.5" x14ac:dyDescent="0.35">
      <c r="B4" s="5" t="s">
        <v>9</v>
      </c>
      <c r="C4" s="6" t="s">
        <v>1</v>
      </c>
      <c r="D4" s="5" t="s">
        <v>8</v>
      </c>
      <c r="E4" s="6" t="s">
        <v>2</v>
      </c>
      <c r="F4" s="6" t="s">
        <v>4</v>
      </c>
      <c r="G4" s="6" t="s">
        <v>3</v>
      </c>
    </row>
    <row r="5" spans="2:7" ht="18.5" x14ac:dyDescent="0.35">
      <c r="B5" s="4" t="s">
        <v>10</v>
      </c>
      <c r="C5" s="19" t="s">
        <v>49</v>
      </c>
      <c r="D5" s="85" t="s">
        <v>95</v>
      </c>
      <c r="E5" s="19" t="s">
        <v>54</v>
      </c>
      <c r="F5" s="20">
        <v>123</v>
      </c>
      <c r="G5" s="86" t="s">
        <v>91</v>
      </c>
    </row>
    <row r="6" spans="2:7" ht="18.5" x14ac:dyDescent="0.35">
      <c r="B6" s="4" t="s">
        <v>13</v>
      </c>
      <c r="C6" s="19" t="s">
        <v>72</v>
      </c>
      <c r="D6" s="85"/>
      <c r="E6" s="19" t="s">
        <v>53</v>
      </c>
      <c r="F6" s="20">
        <v>123456</v>
      </c>
      <c r="G6" s="87"/>
    </row>
    <row r="7" spans="2:7" ht="18.5" x14ac:dyDescent="0.35">
      <c r="B7" s="17" t="s">
        <v>11</v>
      </c>
      <c r="C7" s="10" t="s">
        <v>73</v>
      </c>
      <c r="D7" s="85"/>
      <c r="E7" s="9" t="s">
        <v>75</v>
      </c>
      <c r="F7" s="11">
        <v>2026</v>
      </c>
      <c r="G7" s="87"/>
    </row>
    <row r="8" spans="2:7" ht="18.5" x14ac:dyDescent="0.35">
      <c r="B8" s="17" t="s">
        <v>12</v>
      </c>
      <c r="C8" s="10" t="s">
        <v>74</v>
      </c>
      <c r="D8" s="85"/>
      <c r="E8" s="9" t="s">
        <v>76</v>
      </c>
      <c r="F8" s="24" t="s">
        <v>42</v>
      </c>
      <c r="G8" s="87"/>
    </row>
    <row r="9" spans="2:7" ht="18.5" x14ac:dyDescent="0.35">
      <c r="B9" s="17" t="s">
        <v>14</v>
      </c>
      <c r="C9" s="10" t="s">
        <v>48</v>
      </c>
      <c r="D9" s="85"/>
      <c r="E9" s="9" t="s">
        <v>84</v>
      </c>
      <c r="F9" s="24" t="s">
        <v>43</v>
      </c>
      <c r="G9" s="87"/>
    </row>
    <row r="10" spans="2:7" ht="37" x14ac:dyDescent="0.35">
      <c r="B10" s="17" t="s">
        <v>16</v>
      </c>
      <c r="C10" s="10" t="s">
        <v>51</v>
      </c>
      <c r="D10" s="85"/>
      <c r="E10" s="9" t="s">
        <v>52</v>
      </c>
      <c r="F10" s="9" t="s">
        <v>50</v>
      </c>
      <c r="G10" s="87"/>
    </row>
    <row r="11" spans="2:7" ht="18.5" x14ac:dyDescent="0.35">
      <c r="B11" s="17" t="s">
        <v>15</v>
      </c>
      <c r="C11" s="10" t="s">
        <v>27</v>
      </c>
      <c r="D11" s="85"/>
      <c r="E11" s="9" t="s">
        <v>77</v>
      </c>
      <c r="F11" s="9" t="s">
        <v>78</v>
      </c>
      <c r="G11" s="87"/>
    </row>
    <row r="12" spans="2:7" ht="18.5" x14ac:dyDescent="0.35">
      <c r="B12" s="17" t="s">
        <v>17</v>
      </c>
      <c r="C12" s="10" t="s">
        <v>26</v>
      </c>
      <c r="D12" s="85"/>
      <c r="E12" s="9" t="s">
        <v>36</v>
      </c>
      <c r="F12" s="9" t="s">
        <v>7</v>
      </c>
      <c r="G12" s="87"/>
    </row>
    <row r="13" spans="2:7" ht="18.5" x14ac:dyDescent="0.35">
      <c r="B13" s="25" t="s">
        <v>18</v>
      </c>
      <c r="C13" s="14" t="s">
        <v>5</v>
      </c>
      <c r="D13" s="85"/>
      <c r="E13" s="15" t="s">
        <v>34</v>
      </c>
      <c r="F13" s="15" t="s">
        <v>79</v>
      </c>
      <c r="G13" s="87"/>
    </row>
    <row r="14" spans="2:7" ht="18.5" x14ac:dyDescent="0.35">
      <c r="B14" s="25" t="s">
        <v>19</v>
      </c>
      <c r="C14" s="14" t="s">
        <v>6</v>
      </c>
      <c r="D14" s="85"/>
      <c r="E14" s="15" t="s">
        <v>33</v>
      </c>
      <c r="F14" s="15" t="s">
        <v>80</v>
      </c>
      <c r="G14" s="87"/>
    </row>
    <row r="15" spans="2:7" ht="18.5" x14ac:dyDescent="0.35">
      <c r="B15" s="25" t="s">
        <v>20</v>
      </c>
      <c r="C15" s="14" t="s">
        <v>65</v>
      </c>
      <c r="D15" s="85"/>
      <c r="E15" s="15" t="s">
        <v>85</v>
      </c>
      <c r="F15" s="15" t="s">
        <v>81</v>
      </c>
      <c r="G15" s="88"/>
    </row>
    <row r="17" spans="2:7" ht="18.5" x14ac:dyDescent="0.45">
      <c r="B17" s="23" t="s">
        <v>41</v>
      </c>
      <c r="C17" s="22"/>
      <c r="D17" s="2"/>
    </row>
    <row r="18" spans="2:7" ht="18.5" x14ac:dyDescent="0.45">
      <c r="B18" s="2"/>
      <c r="C18" s="27" t="s">
        <v>86</v>
      </c>
      <c r="D18" s="28"/>
    </row>
    <row r="19" spans="2:7" ht="18.5" x14ac:dyDescent="0.45">
      <c r="B19" s="2"/>
      <c r="C19" s="29" t="s">
        <v>87</v>
      </c>
      <c r="D19" s="30"/>
    </row>
    <row r="22" spans="2:7" ht="18.5" x14ac:dyDescent="0.35">
      <c r="B22" s="21" t="s">
        <v>9</v>
      </c>
      <c r="C22" s="12" t="s">
        <v>1</v>
      </c>
      <c r="D22" s="21" t="s">
        <v>8</v>
      </c>
      <c r="E22" s="12" t="s">
        <v>2</v>
      </c>
      <c r="F22" s="12" t="s">
        <v>4</v>
      </c>
      <c r="G22" s="12" t="s">
        <v>3</v>
      </c>
    </row>
    <row r="23" spans="2:7" ht="18.5" customHeight="1" x14ac:dyDescent="0.35">
      <c r="B23" s="4" t="s">
        <v>10</v>
      </c>
      <c r="C23" s="19" t="s">
        <v>49</v>
      </c>
      <c r="D23" s="85" t="s">
        <v>96</v>
      </c>
      <c r="E23" s="19" t="s">
        <v>54</v>
      </c>
      <c r="F23" s="20">
        <v>123</v>
      </c>
      <c r="G23" s="89" t="s">
        <v>91</v>
      </c>
    </row>
    <row r="24" spans="2:7" ht="18.5" x14ac:dyDescent="0.35">
      <c r="B24" s="4" t="s">
        <v>13</v>
      </c>
      <c r="C24" s="19" t="s">
        <v>64</v>
      </c>
      <c r="D24" s="85"/>
      <c r="E24" s="19" t="s">
        <v>53</v>
      </c>
      <c r="F24" s="20">
        <v>1899987898</v>
      </c>
      <c r="G24" s="90"/>
    </row>
    <row r="25" spans="2:7" ht="18.5" x14ac:dyDescent="0.35">
      <c r="B25" s="18" t="s">
        <v>11</v>
      </c>
      <c r="C25" s="10" t="s">
        <v>73</v>
      </c>
      <c r="D25" s="85"/>
      <c r="E25" s="9" t="s">
        <v>75</v>
      </c>
      <c r="F25" s="11">
        <v>2026</v>
      </c>
      <c r="G25" s="90"/>
    </row>
    <row r="26" spans="2:7" ht="18.5" x14ac:dyDescent="0.35">
      <c r="B26" s="18" t="s">
        <v>12</v>
      </c>
      <c r="C26" s="10" t="s">
        <v>74</v>
      </c>
      <c r="D26" s="85"/>
      <c r="E26" s="9" t="s">
        <v>76</v>
      </c>
      <c r="F26" s="24" t="s">
        <v>42</v>
      </c>
      <c r="G26" s="90"/>
    </row>
    <row r="27" spans="2:7" ht="18.5" x14ac:dyDescent="0.35">
      <c r="B27" s="18" t="s">
        <v>14</v>
      </c>
      <c r="C27" s="10" t="s">
        <v>48</v>
      </c>
      <c r="D27" s="85"/>
      <c r="E27" s="9" t="s">
        <v>84</v>
      </c>
      <c r="F27" s="11"/>
      <c r="G27" s="90"/>
    </row>
    <row r="28" spans="2:7" ht="37" x14ac:dyDescent="0.35">
      <c r="B28" s="18" t="s">
        <v>16</v>
      </c>
      <c r="C28" s="10" t="s">
        <v>51</v>
      </c>
      <c r="D28" s="85"/>
      <c r="E28" s="9" t="s">
        <v>52</v>
      </c>
      <c r="F28" s="24" t="s">
        <v>50</v>
      </c>
      <c r="G28" s="90"/>
    </row>
    <row r="29" spans="2:7" ht="18.5" x14ac:dyDescent="0.35">
      <c r="B29" s="18" t="s">
        <v>15</v>
      </c>
      <c r="C29" s="10" t="s">
        <v>69</v>
      </c>
      <c r="D29" s="85"/>
      <c r="E29" s="9" t="s">
        <v>70</v>
      </c>
      <c r="F29" s="11" t="s">
        <v>71</v>
      </c>
      <c r="G29" s="90"/>
    </row>
    <row r="30" spans="2:7" ht="18.5" x14ac:dyDescent="0.35">
      <c r="B30" s="18" t="s">
        <v>17</v>
      </c>
      <c r="C30" s="10" t="s">
        <v>28</v>
      </c>
      <c r="D30" s="85"/>
      <c r="E30" s="9" t="s">
        <v>40</v>
      </c>
      <c r="F30" s="9" t="s">
        <v>56</v>
      </c>
      <c r="G30" s="90"/>
    </row>
    <row r="31" spans="2:7" ht="37" x14ac:dyDescent="0.35">
      <c r="B31" s="18" t="s">
        <v>18</v>
      </c>
      <c r="C31" s="10" t="s">
        <v>44</v>
      </c>
      <c r="D31" s="85"/>
      <c r="E31" s="9" t="s">
        <v>37</v>
      </c>
      <c r="F31" s="11" t="s">
        <v>55</v>
      </c>
      <c r="G31" s="90"/>
    </row>
    <row r="32" spans="2:7" ht="18.5" x14ac:dyDescent="0.35">
      <c r="B32" s="18" t="s">
        <v>19</v>
      </c>
      <c r="C32" s="10" t="s">
        <v>29</v>
      </c>
      <c r="D32" s="85"/>
      <c r="E32" s="9" t="s">
        <v>38</v>
      </c>
      <c r="F32" s="11" t="s">
        <v>66</v>
      </c>
      <c r="G32" s="90"/>
    </row>
    <row r="33" spans="1:10" ht="18.5" x14ac:dyDescent="0.35">
      <c r="B33" s="13" t="s">
        <v>20</v>
      </c>
      <c r="C33" s="14" t="s">
        <v>57</v>
      </c>
      <c r="D33" s="85"/>
      <c r="E33" s="15" t="s">
        <v>31</v>
      </c>
      <c r="F33" s="16">
        <v>1</v>
      </c>
      <c r="G33" s="90"/>
    </row>
    <row r="34" spans="1:10" ht="18.5" x14ac:dyDescent="0.35">
      <c r="B34" s="13" t="s">
        <v>21</v>
      </c>
      <c r="C34" s="14" t="s">
        <v>30</v>
      </c>
      <c r="D34" s="85"/>
      <c r="E34" s="15" t="s">
        <v>32</v>
      </c>
      <c r="F34" s="16">
        <v>1</v>
      </c>
      <c r="G34" s="90"/>
    </row>
    <row r="35" spans="1:10" ht="18.5" x14ac:dyDescent="0.35">
      <c r="B35" s="13" t="s">
        <v>22</v>
      </c>
      <c r="C35" s="14" t="s">
        <v>58</v>
      </c>
      <c r="D35" s="85"/>
      <c r="E35" s="15" t="s">
        <v>39</v>
      </c>
      <c r="F35" s="16">
        <v>3</v>
      </c>
      <c r="G35" s="90"/>
    </row>
    <row r="36" spans="1:10" ht="18.5" x14ac:dyDescent="0.35">
      <c r="B36" s="13" t="s">
        <v>23</v>
      </c>
      <c r="C36" s="14" t="s">
        <v>67</v>
      </c>
      <c r="D36" s="85"/>
      <c r="E36" s="15" t="s">
        <v>35</v>
      </c>
      <c r="F36" s="16">
        <v>12</v>
      </c>
      <c r="G36" s="90"/>
    </row>
    <row r="37" spans="1:10" ht="18.5" x14ac:dyDescent="0.35">
      <c r="B37" s="13" t="s">
        <v>24</v>
      </c>
      <c r="C37" s="14" t="s">
        <v>92</v>
      </c>
      <c r="D37" s="85"/>
      <c r="E37" s="15" t="s">
        <v>59</v>
      </c>
      <c r="F37" s="16">
        <v>10</v>
      </c>
      <c r="G37" s="90"/>
    </row>
    <row r="38" spans="1:10" ht="37" customHeight="1" x14ac:dyDescent="0.35">
      <c r="B38" s="13" t="s">
        <v>25</v>
      </c>
      <c r="C38" s="14" t="s">
        <v>93</v>
      </c>
      <c r="D38" s="85"/>
      <c r="E38" s="15" t="s">
        <v>60</v>
      </c>
      <c r="F38" s="16">
        <f>F36-F37</f>
        <v>2</v>
      </c>
      <c r="G38" s="90"/>
    </row>
    <row r="39" spans="1:10" ht="18.5" x14ac:dyDescent="0.35">
      <c r="B39" s="13" t="s">
        <v>45</v>
      </c>
      <c r="C39" s="14" t="s">
        <v>61</v>
      </c>
      <c r="D39" s="85"/>
      <c r="E39" s="15" t="s">
        <v>68</v>
      </c>
      <c r="F39" s="16">
        <v>10.125</v>
      </c>
      <c r="G39" s="90"/>
    </row>
    <row r="40" spans="1:10" ht="37" x14ac:dyDescent="0.35">
      <c r="B40" s="13" t="s">
        <v>46</v>
      </c>
      <c r="C40" s="14" t="s">
        <v>62</v>
      </c>
      <c r="D40" s="85"/>
      <c r="E40" s="15" t="s">
        <v>63</v>
      </c>
      <c r="F40" s="16">
        <f>F35*F39*1.15</f>
        <v>34.931249999999999</v>
      </c>
      <c r="G40" s="90"/>
    </row>
    <row r="41" spans="1:10" ht="18.5" x14ac:dyDescent="0.35">
      <c r="B41" s="13" t="s">
        <v>47</v>
      </c>
      <c r="C41" s="14" t="s">
        <v>65</v>
      </c>
      <c r="D41" s="85"/>
      <c r="E41" s="15" t="s">
        <v>83</v>
      </c>
      <c r="F41" s="15" t="s">
        <v>82</v>
      </c>
      <c r="G41" s="90"/>
    </row>
    <row r="43" spans="1:10" x14ac:dyDescent="0.35">
      <c r="A43"/>
      <c r="B43"/>
      <c r="C43"/>
      <c r="D43"/>
      <c r="H43"/>
      <c r="I43"/>
      <c r="J43"/>
    </row>
    <row r="44" spans="1:10" x14ac:dyDescent="0.35">
      <c r="A44"/>
      <c r="C44" s="2"/>
      <c r="D44" s="2"/>
      <c r="E44" s="31"/>
      <c r="F44" s="31"/>
      <c r="G44" s="31"/>
      <c r="H44" s="2"/>
      <c r="I44" s="2"/>
      <c r="J44" s="2"/>
    </row>
    <row r="45" spans="1:10" ht="18.5" x14ac:dyDescent="0.45">
      <c r="A45"/>
      <c r="B45" s="23" t="s">
        <v>41</v>
      </c>
      <c r="C45" s="22"/>
      <c r="D45" s="2"/>
      <c r="E45" s="31"/>
      <c r="F45" s="31"/>
      <c r="G45" s="31"/>
      <c r="H45" s="2"/>
      <c r="I45" s="2"/>
      <c r="J45" s="2"/>
    </row>
    <row r="46" spans="1:10" ht="18.5" x14ac:dyDescent="0.45">
      <c r="A46"/>
      <c r="B46" s="2"/>
      <c r="C46" s="27" t="s">
        <v>88</v>
      </c>
      <c r="D46" s="28"/>
      <c r="E46" s="31"/>
      <c r="F46" s="31"/>
      <c r="G46" s="31"/>
      <c r="H46" s="2"/>
      <c r="I46" s="2"/>
      <c r="J46" s="2"/>
    </row>
    <row r="47" spans="1:10" ht="18.5" x14ac:dyDescent="0.45">
      <c r="A47"/>
      <c r="B47" s="2"/>
      <c r="C47" s="29" t="s">
        <v>89</v>
      </c>
      <c r="D47" s="30"/>
      <c r="E47" s="31"/>
      <c r="F47" s="31"/>
      <c r="G47" s="31"/>
      <c r="H47" s="2"/>
      <c r="I47" s="2"/>
      <c r="J47" s="2"/>
    </row>
    <row r="48" spans="1:10" x14ac:dyDescent="0.35">
      <c r="A48"/>
      <c r="B48" s="2"/>
      <c r="C48" s="2"/>
      <c r="D48" s="2"/>
      <c r="E48" s="31"/>
      <c r="F48" s="31"/>
      <c r="G48" s="31"/>
      <c r="H48" s="2"/>
      <c r="I48" s="2"/>
      <c r="J48" s="2"/>
    </row>
    <row r="49" spans="1:10" x14ac:dyDescent="0.35">
      <c r="A49"/>
      <c r="B49"/>
      <c r="C49"/>
      <c r="D49"/>
      <c r="H49"/>
      <c r="I49"/>
      <c r="J49"/>
    </row>
  </sheetData>
  <mergeCells count="5">
    <mergeCell ref="B1:G1"/>
    <mergeCell ref="D5:D15"/>
    <mergeCell ref="G5:G15"/>
    <mergeCell ref="D23:D41"/>
    <mergeCell ref="G23:G41"/>
  </mergeCells>
  <hyperlinks>
    <hyperlink ref="F28" r:id="rId1"/>
  </hyperlinks>
  <pageMargins left="0.70866141732283472" right="0.70866141732283472" top="0.74803149606299213" bottom="0.74803149606299213" header="0.31496062992125984" footer="0.31496062992125984"/>
  <pageSetup paperSize="9" scale="35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zoomScale="60" zoomScaleNormal="60" workbookViewId="0">
      <selection activeCell="B2" sqref="B2"/>
    </sheetView>
  </sheetViews>
  <sheetFormatPr defaultRowHeight="14.5" x14ac:dyDescent="0.35"/>
  <cols>
    <col min="2" max="2" width="38.453125" customWidth="1"/>
    <col min="3" max="3" width="10.90625" customWidth="1"/>
    <col min="5" max="5" width="14.36328125" customWidth="1"/>
    <col min="6" max="6" width="17.90625" customWidth="1"/>
    <col min="7" max="7" width="21.36328125" customWidth="1"/>
    <col min="8" max="8" width="34.54296875" customWidth="1"/>
    <col min="9" max="9" width="12.36328125" customWidth="1"/>
    <col min="10" max="10" width="11.90625" customWidth="1"/>
    <col min="11" max="11" width="12.54296875" customWidth="1"/>
    <col min="12" max="12" width="14" customWidth="1"/>
    <col min="13" max="13" width="17.08984375" customWidth="1"/>
    <col min="14" max="14" width="34.90625" customWidth="1"/>
    <col min="15" max="15" width="13.08984375" customWidth="1"/>
    <col min="16" max="16" width="13.453125" customWidth="1"/>
    <col min="17" max="17" width="13.90625" customWidth="1"/>
  </cols>
  <sheetData>
    <row r="1" spans="1:17" x14ac:dyDescent="0.35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  <c r="K1" s="1" t="s">
        <v>710</v>
      </c>
      <c r="L1" s="1" t="s">
        <v>711</v>
      </c>
      <c r="M1" s="1" t="s">
        <v>712</v>
      </c>
      <c r="N1" s="1" t="s">
        <v>713</v>
      </c>
      <c r="O1" s="1" t="s">
        <v>714</v>
      </c>
      <c r="P1" s="1" t="s">
        <v>715</v>
      </c>
      <c r="Q1" s="1" t="s">
        <v>716</v>
      </c>
    </row>
    <row r="2" spans="1:17" x14ac:dyDescent="0.35">
      <c r="A2" t="s">
        <v>717</v>
      </c>
      <c r="B2" t="s">
        <v>718</v>
      </c>
      <c r="C2">
        <v>188</v>
      </c>
      <c r="D2">
        <v>2</v>
      </c>
      <c r="E2" t="s">
        <v>572</v>
      </c>
      <c r="F2" t="s">
        <v>572</v>
      </c>
      <c r="G2" t="s">
        <v>532</v>
      </c>
      <c r="H2" t="s">
        <v>719</v>
      </c>
      <c r="I2">
        <v>25.777999999999999</v>
      </c>
      <c r="J2">
        <v>89.423000000000002</v>
      </c>
      <c r="K2" t="s">
        <v>572</v>
      </c>
      <c r="L2" t="s">
        <v>720</v>
      </c>
      <c r="M2" t="s">
        <v>721</v>
      </c>
      <c r="N2" t="s">
        <v>722</v>
      </c>
      <c r="O2">
        <v>26.326000000000001</v>
      </c>
      <c r="P2">
        <v>88.534999999999997</v>
      </c>
      <c r="Q2" t="s">
        <v>723</v>
      </c>
    </row>
    <row r="3" spans="1:17" x14ac:dyDescent="0.35">
      <c r="A3" t="s">
        <v>717</v>
      </c>
      <c r="B3" t="s">
        <v>718</v>
      </c>
      <c r="C3">
        <v>167</v>
      </c>
      <c r="D3">
        <v>2</v>
      </c>
      <c r="E3" t="s">
        <v>572</v>
      </c>
      <c r="F3" t="s">
        <v>526</v>
      </c>
      <c r="G3" t="s">
        <v>724</v>
      </c>
      <c r="H3" t="s">
        <v>725</v>
      </c>
      <c r="I3">
        <v>25.911000000000001</v>
      </c>
      <c r="J3">
        <v>89.444000000000003</v>
      </c>
      <c r="K3" t="s">
        <v>502</v>
      </c>
      <c r="L3" t="s">
        <v>726</v>
      </c>
      <c r="M3" t="s">
        <v>727</v>
      </c>
      <c r="N3" t="s">
        <v>728</v>
      </c>
      <c r="O3">
        <v>24.805</v>
      </c>
      <c r="P3">
        <v>88.986999999999995</v>
      </c>
      <c r="Q3" t="s">
        <v>729</v>
      </c>
    </row>
    <row r="4" spans="1:17" x14ac:dyDescent="0.35">
      <c r="A4" t="s">
        <v>717</v>
      </c>
      <c r="B4" t="s">
        <v>718</v>
      </c>
      <c r="C4">
        <v>48</v>
      </c>
      <c r="D4">
        <v>2</v>
      </c>
      <c r="E4" t="s">
        <v>572</v>
      </c>
      <c r="F4" t="s">
        <v>526</v>
      </c>
      <c r="G4" t="s">
        <v>724</v>
      </c>
      <c r="H4" t="s">
        <v>730</v>
      </c>
      <c r="I4">
        <v>25.808</v>
      </c>
      <c r="J4">
        <v>89.44</v>
      </c>
      <c r="K4" t="s">
        <v>572</v>
      </c>
      <c r="L4" t="s">
        <v>625</v>
      </c>
      <c r="M4" t="s">
        <v>731</v>
      </c>
      <c r="N4" t="s">
        <v>732</v>
      </c>
      <c r="O4">
        <v>25.579000000000001</v>
      </c>
      <c r="P4">
        <v>89.673000000000002</v>
      </c>
      <c r="Q4" t="s">
        <v>697</v>
      </c>
    </row>
    <row r="5" spans="1:17" x14ac:dyDescent="0.35">
      <c r="A5" t="s">
        <v>733</v>
      </c>
      <c r="B5" t="s">
        <v>734</v>
      </c>
      <c r="C5">
        <v>188</v>
      </c>
      <c r="D5">
        <v>2</v>
      </c>
      <c r="E5" t="s">
        <v>572</v>
      </c>
      <c r="F5" t="s">
        <v>572</v>
      </c>
      <c r="G5" t="s">
        <v>532</v>
      </c>
      <c r="H5" t="s">
        <v>719</v>
      </c>
      <c r="I5">
        <v>25.777999999999999</v>
      </c>
      <c r="J5">
        <v>89.423000000000002</v>
      </c>
      <c r="K5" t="s">
        <v>572</v>
      </c>
      <c r="L5" t="s">
        <v>720</v>
      </c>
      <c r="M5" t="s">
        <v>721</v>
      </c>
      <c r="N5" t="s">
        <v>722</v>
      </c>
      <c r="O5">
        <v>26.326000000000001</v>
      </c>
      <c r="P5">
        <v>88.534999999999997</v>
      </c>
      <c r="Q5" t="s">
        <v>723</v>
      </c>
    </row>
    <row r="6" spans="1:17" x14ac:dyDescent="0.35">
      <c r="A6" t="s">
        <v>733</v>
      </c>
      <c r="B6" t="s">
        <v>734</v>
      </c>
      <c r="C6">
        <v>167</v>
      </c>
      <c r="D6">
        <v>2</v>
      </c>
      <c r="E6" t="s">
        <v>572</v>
      </c>
      <c r="F6" t="s">
        <v>526</v>
      </c>
      <c r="G6" t="s">
        <v>724</v>
      </c>
      <c r="H6" t="s">
        <v>725</v>
      </c>
      <c r="I6">
        <v>25.911000000000001</v>
      </c>
      <c r="J6">
        <v>89.444000000000003</v>
      </c>
      <c r="K6" t="s">
        <v>502</v>
      </c>
      <c r="L6" t="s">
        <v>726</v>
      </c>
      <c r="M6" t="s">
        <v>727</v>
      </c>
      <c r="N6" t="s">
        <v>728</v>
      </c>
      <c r="O6">
        <v>24.805</v>
      </c>
      <c r="P6">
        <v>88.986999999999995</v>
      </c>
      <c r="Q6" t="s">
        <v>729</v>
      </c>
    </row>
    <row r="7" spans="1:17" x14ac:dyDescent="0.35">
      <c r="A7" t="s">
        <v>717</v>
      </c>
      <c r="B7" t="s">
        <v>735</v>
      </c>
      <c r="C7">
        <v>152</v>
      </c>
      <c r="D7">
        <v>2</v>
      </c>
      <c r="E7" t="s">
        <v>572</v>
      </c>
      <c r="F7" t="s">
        <v>572</v>
      </c>
      <c r="G7" t="s">
        <v>532</v>
      </c>
      <c r="H7" t="s">
        <v>719</v>
      </c>
      <c r="I7">
        <v>25.777999999999999</v>
      </c>
      <c r="J7">
        <v>89.423000000000002</v>
      </c>
      <c r="K7" t="s">
        <v>502</v>
      </c>
      <c r="L7" t="s">
        <v>726</v>
      </c>
      <c r="M7" t="s">
        <v>727</v>
      </c>
      <c r="N7" t="s">
        <v>728</v>
      </c>
      <c r="O7">
        <v>24.805</v>
      </c>
      <c r="P7">
        <v>88.986999999999995</v>
      </c>
      <c r="Q7" t="s">
        <v>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944"/>
  <sheetViews>
    <sheetView topLeftCell="A861" workbookViewId="0">
      <selection activeCell="O111" sqref="O111"/>
    </sheetView>
  </sheetViews>
  <sheetFormatPr defaultRowHeight="14.5" x14ac:dyDescent="0.35"/>
  <cols>
    <col min="3" max="3" width="23.6328125" customWidth="1"/>
    <col min="5" max="5" width="14" customWidth="1"/>
    <col min="6" max="6" width="13.6328125" customWidth="1"/>
    <col min="7" max="7" width="12.08984375" customWidth="1"/>
    <col min="8" max="8" width="14.36328125" customWidth="1"/>
    <col min="9" max="9" width="12.453125" customWidth="1"/>
    <col min="10" max="10" width="13" customWidth="1"/>
    <col min="11" max="11" width="11.90625" customWidth="1"/>
    <col min="12" max="12" width="15.453125" customWidth="1"/>
    <col min="14" max="14" width="14.08984375" customWidth="1"/>
  </cols>
  <sheetData>
    <row r="1" spans="2:16" x14ac:dyDescent="0.35">
      <c r="G1" t="s">
        <v>699</v>
      </c>
    </row>
    <row r="3" spans="2:16" ht="34.5" x14ac:dyDescent="0.35">
      <c r="B3" s="63" t="s">
        <v>100</v>
      </c>
      <c r="C3" s="63" t="s">
        <v>101</v>
      </c>
      <c r="D3" s="63" t="s">
        <v>102</v>
      </c>
      <c r="E3" s="64" t="s">
        <v>103</v>
      </c>
      <c r="F3" s="64" t="s">
        <v>6</v>
      </c>
      <c r="G3" s="63" t="s">
        <v>5</v>
      </c>
      <c r="H3" s="64" t="s">
        <v>104</v>
      </c>
      <c r="I3" s="64" t="s">
        <v>6</v>
      </c>
      <c r="J3" s="63" t="s">
        <v>5</v>
      </c>
      <c r="K3" s="64" t="s">
        <v>105</v>
      </c>
      <c r="L3" s="63" t="s">
        <v>106</v>
      </c>
      <c r="M3" s="64" t="s">
        <v>107</v>
      </c>
      <c r="N3" s="64" t="s">
        <v>108</v>
      </c>
      <c r="O3" s="64" t="s">
        <v>109</v>
      </c>
      <c r="P3" s="63" t="s">
        <v>110</v>
      </c>
    </row>
    <row r="4" spans="2:16" ht="23" x14ac:dyDescent="0.35">
      <c r="B4" s="65">
        <v>1</v>
      </c>
      <c r="C4" s="66" t="s">
        <v>111</v>
      </c>
      <c r="D4" s="65" t="s">
        <v>112</v>
      </c>
      <c r="E4" s="65" t="s">
        <v>113</v>
      </c>
      <c r="F4" s="65">
        <v>23.618289999999998</v>
      </c>
      <c r="G4" s="65">
        <v>90.505439999999993</v>
      </c>
      <c r="H4" s="65" t="s">
        <v>114</v>
      </c>
      <c r="I4" s="65">
        <v>23.624580000000002</v>
      </c>
      <c r="J4" s="65">
        <v>90.498350000000002</v>
      </c>
      <c r="K4" s="65">
        <v>1.61</v>
      </c>
      <c r="L4" s="65" t="s">
        <v>115</v>
      </c>
      <c r="M4" s="65">
        <v>16</v>
      </c>
      <c r="N4" s="65">
        <v>16</v>
      </c>
      <c r="O4" s="65">
        <f t="shared" ref="O4:O35" si="0">M4-N4</f>
        <v>0</v>
      </c>
      <c r="P4" s="65"/>
    </row>
    <row r="5" spans="2:16" ht="23" x14ac:dyDescent="0.35">
      <c r="B5" s="65">
        <v>2</v>
      </c>
      <c r="C5" s="66" t="s">
        <v>111</v>
      </c>
      <c r="D5" s="65" t="s">
        <v>112</v>
      </c>
      <c r="E5" s="65" t="s">
        <v>114</v>
      </c>
      <c r="F5" s="65">
        <v>23.624580000000002</v>
      </c>
      <c r="G5" s="65">
        <v>90.498350000000002</v>
      </c>
      <c r="H5" s="65" t="s">
        <v>116</v>
      </c>
      <c r="I5" s="65">
        <v>23.651009999999999</v>
      </c>
      <c r="J5" s="65">
        <v>90.473780000000005</v>
      </c>
      <c r="K5" s="65">
        <v>3.62</v>
      </c>
      <c r="L5" s="65" t="s">
        <v>115</v>
      </c>
      <c r="M5" s="65">
        <v>16</v>
      </c>
      <c r="N5" s="65">
        <v>16</v>
      </c>
      <c r="O5" s="65">
        <f t="shared" si="0"/>
        <v>0</v>
      </c>
      <c r="P5" s="65"/>
    </row>
    <row r="6" spans="2:16" ht="23" x14ac:dyDescent="0.35">
      <c r="B6" s="65">
        <v>3</v>
      </c>
      <c r="C6" s="66" t="s">
        <v>111</v>
      </c>
      <c r="D6" s="65" t="s">
        <v>112</v>
      </c>
      <c r="E6" s="65" t="s">
        <v>116</v>
      </c>
      <c r="F6" s="65">
        <v>23.651009999999999</v>
      </c>
      <c r="G6" s="65">
        <v>90.473780000000005</v>
      </c>
      <c r="H6" s="65" t="s">
        <v>117</v>
      </c>
      <c r="I6" s="65">
        <v>23.70139</v>
      </c>
      <c r="J6" s="65">
        <v>90.428420000000003</v>
      </c>
      <c r="K6" s="66">
        <v>7.24</v>
      </c>
      <c r="L6" s="65" t="s">
        <v>115</v>
      </c>
      <c r="M6" s="65">
        <v>16</v>
      </c>
      <c r="N6" s="65">
        <v>16</v>
      </c>
      <c r="O6" s="65">
        <f t="shared" si="0"/>
        <v>0</v>
      </c>
      <c r="P6" s="65"/>
    </row>
    <row r="7" spans="2:16" ht="23" x14ac:dyDescent="0.35">
      <c r="B7" s="65">
        <v>4</v>
      </c>
      <c r="C7" s="66" t="s">
        <v>111</v>
      </c>
      <c r="D7" s="65" t="s">
        <v>112</v>
      </c>
      <c r="E7" s="65" t="s">
        <v>117</v>
      </c>
      <c r="F7" s="65">
        <v>23.70139</v>
      </c>
      <c r="G7" s="65">
        <v>90.428420000000003</v>
      </c>
      <c r="H7" s="65" t="s">
        <v>118</v>
      </c>
      <c r="I7" s="65">
        <v>23.733460000000001</v>
      </c>
      <c r="J7" s="65">
        <v>90.426540000000003</v>
      </c>
      <c r="K7" s="66">
        <v>3.62</v>
      </c>
      <c r="L7" s="65" t="s">
        <v>115</v>
      </c>
      <c r="M7" s="65">
        <v>16</v>
      </c>
      <c r="N7" s="65">
        <v>16</v>
      </c>
      <c r="O7" s="65">
        <f t="shared" si="0"/>
        <v>0</v>
      </c>
      <c r="P7" s="65"/>
    </row>
    <row r="8" spans="2:16" ht="23" x14ac:dyDescent="0.35">
      <c r="B8" s="65">
        <v>5</v>
      </c>
      <c r="C8" s="66" t="s">
        <v>111</v>
      </c>
      <c r="D8" s="65" t="s">
        <v>112</v>
      </c>
      <c r="E8" s="65" t="s">
        <v>118</v>
      </c>
      <c r="F8" s="65">
        <v>23.733460000000001</v>
      </c>
      <c r="G8" s="65">
        <v>90.426540000000003</v>
      </c>
      <c r="H8" s="65" t="s">
        <v>119</v>
      </c>
      <c r="I8" s="65">
        <v>23.76145</v>
      </c>
      <c r="J8" s="65">
        <v>90.394300000000001</v>
      </c>
      <c r="K8" s="65">
        <v>6.44</v>
      </c>
      <c r="L8" s="65" t="s">
        <v>115</v>
      </c>
      <c r="M8" s="65">
        <v>48</v>
      </c>
      <c r="N8" s="65">
        <v>32</v>
      </c>
      <c r="O8" s="65">
        <f t="shared" si="0"/>
        <v>16</v>
      </c>
      <c r="P8" s="65"/>
    </row>
    <row r="9" spans="2:16" ht="23" x14ac:dyDescent="0.35">
      <c r="B9" s="65">
        <v>6</v>
      </c>
      <c r="C9" s="66" t="s">
        <v>111</v>
      </c>
      <c r="D9" s="65" t="s">
        <v>112</v>
      </c>
      <c r="E9" s="65" t="s">
        <v>119</v>
      </c>
      <c r="F9" s="65">
        <v>23.76145</v>
      </c>
      <c r="G9" s="65">
        <v>90.394300000000001</v>
      </c>
      <c r="H9" s="65" t="s">
        <v>120</v>
      </c>
      <c r="I9" s="65">
        <v>23.816189999999999</v>
      </c>
      <c r="J9" s="65">
        <v>90.410600000000002</v>
      </c>
      <c r="K9" s="65">
        <v>6.83</v>
      </c>
      <c r="L9" s="65" t="s">
        <v>115</v>
      </c>
      <c r="M9" s="65">
        <v>48</v>
      </c>
      <c r="N9" s="65">
        <v>32</v>
      </c>
      <c r="O9" s="65">
        <f t="shared" si="0"/>
        <v>16</v>
      </c>
      <c r="P9" s="65"/>
    </row>
    <row r="10" spans="2:16" ht="23" x14ac:dyDescent="0.35">
      <c r="B10" s="65">
        <v>7</v>
      </c>
      <c r="C10" s="66" t="s">
        <v>111</v>
      </c>
      <c r="D10" s="65" t="s">
        <v>112</v>
      </c>
      <c r="E10" s="65" t="s">
        <v>120</v>
      </c>
      <c r="F10" s="65">
        <v>23.816189999999999</v>
      </c>
      <c r="G10" s="65">
        <v>90.410600000000002</v>
      </c>
      <c r="H10" s="65" t="s">
        <v>121</v>
      </c>
      <c r="I10" s="65">
        <v>23.852039999999999</v>
      </c>
      <c r="J10" s="65">
        <v>90.408119999999997</v>
      </c>
      <c r="K10" s="67">
        <v>5.01</v>
      </c>
      <c r="L10" s="65" t="s">
        <v>115</v>
      </c>
      <c r="M10" s="65">
        <v>48</v>
      </c>
      <c r="N10" s="65">
        <v>32</v>
      </c>
      <c r="O10" s="65">
        <f t="shared" si="0"/>
        <v>16</v>
      </c>
      <c r="P10" s="65"/>
    </row>
    <row r="11" spans="2:16" ht="23" x14ac:dyDescent="0.35">
      <c r="B11" s="65">
        <v>8</v>
      </c>
      <c r="C11" s="66" t="s">
        <v>111</v>
      </c>
      <c r="D11" s="65" t="s">
        <v>112</v>
      </c>
      <c r="E11" s="65" t="s">
        <v>121</v>
      </c>
      <c r="F11" s="65">
        <v>23.852039999999999</v>
      </c>
      <c r="G11" s="65">
        <v>90.408119999999997</v>
      </c>
      <c r="H11" s="65" t="s">
        <v>122</v>
      </c>
      <c r="I11" s="65">
        <v>23.898769999999999</v>
      </c>
      <c r="J11" s="65">
        <v>90.404300000000006</v>
      </c>
      <c r="K11" s="67">
        <v>4.6500000000000004</v>
      </c>
      <c r="L11" s="65" t="s">
        <v>115</v>
      </c>
      <c r="M11" s="65">
        <v>48</v>
      </c>
      <c r="N11" s="65">
        <v>32</v>
      </c>
      <c r="O11" s="65">
        <f t="shared" si="0"/>
        <v>16</v>
      </c>
      <c r="P11" s="65"/>
    </row>
    <row r="12" spans="2:16" ht="23" x14ac:dyDescent="0.35">
      <c r="B12" s="65">
        <v>9</v>
      </c>
      <c r="C12" s="66" t="s">
        <v>111</v>
      </c>
      <c r="D12" s="65" t="s">
        <v>112</v>
      </c>
      <c r="E12" s="65" t="s">
        <v>122</v>
      </c>
      <c r="F12" s="65">
        <v>23.898769999999999</v>
      </c>
      <c r="G12" s="65">
        <v>90.404300000000006</v>
      </c>
      <c r="H12" s="65" t="s">
        <v>123</v>
      </c>
      <c r="I12" s="65">
        <v>23.959219999999998</v>
      </c>
      <c r="J12" s="65">
        <v>90.415450000000007</v>
      </c>
      <c r="K12" s="67">
        <v>6.44</v>
      </c>
      <c r="L12" s="65" t="s">
        <v>115</v>
      </c>
      <c r="M12" s="65">
        <v>32</v>
      </c>
      <c r="N12" s="65">
        <v>27</v>
      </c>
      <c r="O12" s="65">
        <f t="shared" si="0"/>
        <v>5</v>
      </c>
      <c r="P12" s="65"/>
    </row>
    <row r="13" spans="2:16" ht="23" x14ac:dyDescent="0.35">
      <c r="B13" s="65">
        <v>10</v>
      </c>
      <c r="C13" s="66" t="s">
        <v>111</v>
      </c>
      <c r="D13" s="65" t="s">
        <v>112</v>
      </c>
      <c r="E13" s="65" t="s">
        <v>123</v>
      </c>
      <c r="F13" s="65">
        <v>23.959219999999998</v>
      </c>
      <c r="G13" s="65">
        <v>90.415450000000007</v>
      </c>
      <c r="H13" s="65" t="s">
        <v>124</v>
      </c>
      <c r="I13" s="65">
        <v>23.998380000000001</v>
      </c>
      <c r="J13" s="65">
        <v>90.420079999999999</v>
      </c>
      <c r="K13" s="67">
        <v>4.83</v>
      </c>
      <c r="L13" s="65" t="s">
        <v>115</v>
      </c>
      <c r="M13" s="65">
        <v>32</v>
      </c>
      <c r="N13" s="65">
        <v>27</v>
      </c>
      <c r="O13" s="65">
        <f t="shared" si="0"/>
        <v>5</v>
      </c>
      <c r="P13" s="65"/>
    </row>
    <row r="14" spans="2:16" ht="23" x14ac:dyDescent="0.35">
      <c r="B14" s="65">
        <v>11</v>
      </c>
      <c r="C14" s="66" t="s">
        <v>111</v>
      </c>
      <c r="D14" s="65" t="s">
        <v>112</v>
      </c>
      <c r="E14" s="65" t="s">
        <v>124</v>
      </c>
      <c r="F14" s="65">
        <v>23.998380000000001</v>
      </c>
      <c r="G14" s="65">
        <v>90.420079999999999</v>
      </c>
      <c r="H14" s="65" t="s">
        <v>125</v>
      </c>
      <c r="I14" s="65">
        <v>24.048770000000001</v>
      </c>
      <c r="J14" s="65">
        <v>90.434389999999993</v>
      </c>
      <c r="K14" s="67">
        <v>4.42</v>
      </c>
      <c r="L14" s="65" t="s">
        <v>115</v>
      </c>
      <c r="M14" s="65">
        <v>32</v>
      </c>
      <c r="N14" s="65">
        <v>25</v>
      </c>
      <c r="O14" s="65">
        <f t="shared" si="0"/>
        <v>7</v>
      </c>
      <c r="P14" s="65"/>
    </row>
    <row r="15" spans="2:16" ht="23" x14ac:dyDescent="0.35">
      <c r="B15" s="65">
        <v>12</v>
      </c>
      <c r="C15" s="66" t="s">
        <v>111</v>
      </c>
      <c r="D15" s="65" t="s">
        <v>112</v>
      </c>
      <c r="E15" s="65" t="s">
        <v>125</v>
      </c>
      <c r="F15" s="65">
        <v>24.048770000000001</v>
      </c>
      <c r="G15" s="65">
        <v>90.434389999999993</v>
      </c>
      <c r="H15" s="65" t="s">
        <v>126</v>
      </c>
      <c r="I15" s="65">
        <v>24.097380000000001</v>
      </c>
      <c r="J15" s="65">
        <v>90.449070000000006</v>
      </c>
      <c r="K15" s="67">
        <v>6.84</v>
      </c>
      <c r="L15" s="65" t="s">
        <v>115</v>
      </c>
      <c r="M15" s="65">
        <v>32</v>
      </c>
      <c r="N15" s="65">
        <v>25</v>
      </c>
      <c r="O15" s="65">
        <f t="shared" si="0"/>
        <v>7</v>
      </c>
      <c r="P15" s="65"/>
    </row>
    <row r="16" spans="2:16" ht="23" x14ac:dyDescent="0.35">
      <c r="B16" s="65">
        <v>13</v>
      </c>
      <c r="C16" s="66" t="s">
        <v>111</v>
      </c>
      <c r="D16" s="65" t="s">
        <v>112</v>
      </c>
      <c r="E16" s="65" t="s">
        <v>126</v>
      </c>
      <c r="F16" s="65">
        <v>24.097380000000001</v>
      </c>
      <c r="G16" s="65">
        <v>90.449070000000006</v>
      </c>
      <c r="H16" s="65" t="s">
        <v>127</v>
      </c>
      <c r="I16" s="65">
        <v>24.199369999999998</v>
      </c>
      <c r="J16" s="65">
        <v>90.47954</v>
      </c>
      <c r="K16" s="67">
        <v>11.66</v>
      </c>
      <c r="L16" s="65" t="s">
        <v>115</v>
      </c>
      <c r="M16" s="65">
        <v>32</v>
      </c>
      <c r="N16" s="65">
        <v>25</v>
      </c>
      <c r="O16" s="65">
        <f t="shared" si="0"/>
        <v>7</v>
      </c>
      <c r="P16" s="65"/>
    </row>
    <row r="17" spans="2:16" ht="23" x14ac:dyDescent="0.35">
      <c r="B17" s="65">
        <v>14</v>
      </c>
      <c r="C17" s="66" t="s">
        <v>111</v>
      </c>
      <c r="D17" s="65" t="s">
        <v>112</v>
      </c>
      <c r="E17" s="65" t="s">
        <v>127</v>
      </c>
      <c r="F17" s="65">
        <v>24.199369999999998</v>
      </c>
      <c r="G17" s="65">
        <v>90.47954</v>
      </c>
      <c r="H17" s="65" t="s">
        <v>128</v>
      </c>
      <c r="I17" s="65">
        <v>24.234290000000001</v>
      </c>
      <c r="J17" s="65">
        <v>90.490039999999993</v>
      </c>
      <c r="K17" s="67">
        <v>4.0199999999999996</v>
      </c>
      <c r="L17" s="65" t="s">
        <v>115</v>
      </c>
      <c r="M17" s="65">
        <v>32</v>
      </c>
      <c r="N17" s="65">
        <v>25</v>
      </c>
      <c r="O17" s="65">
        <f t="shared" si="0"/>
        <v>7</v>
      </c>
      <c r="P17" s="65"/>
    </row>
    <row r="18" spans="2:16" ht="23" x14ac:dyDescent="0.35">
      <c r="B18" s="65">
        <v>15</v>
      </c>
      <c r="C18" s="66" t="s">
        <v>111</v>
      </c>
      <c r="D18" s="65" t="s">
        <v>112</v>
      </c>
      <c r="E18" s="65" t="s">
        <v>128</v>
      </c>
      <c r="F18" s="65">
        <v>24.234290000000001</v>
      </c>
      <c r="G18" s="65">
        <v>90.490039999999993</v>
      </c>
      <c r="H18" s="65" t="s">
        <v>129</v>
      </c>
      <c r="I18" s="65">
        <v>24.442222220000001</v>
      </c>
      <c r="J18" s="65">
        <v>90.710555560000003</v>
      </c>
      <c r="K18" s="67">
        <v>8.4499999999999993</v>
      </c>
      <c r="L18" s="65" t="s">
        <v>115</v>
      </c>
      <c r="M18" s="65">
        <v>32</v>
      </c>
      <c r="N18" s="65">
        <v>25</v>
      </c>
      <c r="O18" s="65">
        <f t="shared" si="0"/>
        <v>7</v>
      </c>
      <c r="P18" s="65"/>
    </row>
    <row r="19" spans="2:16" ht="23" x14ac:dyDescent="0.35">
      <c r="B19" s="65">
        <v>16</v>
      </c>
      <c r="C19" s="66" t="s">
        <v>111</v>
      </c>
      <c r="D19" s="65" t="s">
        <v>112</v>
      </c>
      <c r="E19" s="65" t="s">
        <v>129</v>
      </c>
      <c r="F19" s="65">
        <v>24.442222220000001</v>
      </c>
      <c r="G19" s="65">
        <v>90.710555560000003</v>
      </c>
      <c r="H19" s="65" t="s">
        <v>130</v>
      </c>
      <c r="I19" s="65">
        <v>24.423055560000002</v>
      </c>
      <c r="J19" s="65">
        <v>90.572777779999996</v>
      </c>
      <c r="K19" s="67">
        <v>8.85</v>
      </c>
      <c r="L19" s="65" t="s">
        <v>115</v>
      </c>
      <c r="M19" s="65">
        <v>32</v>
      </c>
      <c r="N19" s="65">
        <v>25</v>
      </c>
      <c r="O19" s="65">
        <f t="shared" si="0"/>
        <v>7</v>
      </c>
      <c r="P19" s="65"/>
    </row>
    <row r="20" spans="2:16" ht="23" x14ac:dyDescent="0.35">
      <c r="B20" s="65">
        <v>17</v>
      </c>
      <c r="C20" s="66" t="s">
        <v>111</v>
      </c>
      <c r="D20" s="65" t="s">
        <v>112</v>
      </c>
      <c r="E20" s="65" t="s">
        <v>130</v>
      </c>
      <c r="F20" s="65">
        <v>24.423055560000002</v>
      </c>
      <c r="G20" s="65">
        <v>90.572777779999996</v>
      </c>
      <c r="H20" s="65" t="s">
        <v>131</v>
      </c>
      <c r="I20" s="65">
        <v>24.507777780000001</v>
      </c>
      <c r="J20" s="65">
        <v>90.775000000000006</v>
      </c>
      <c r="K20" s="67">
        <v>8.0500000000000007</v>
      </c>
      <c r="L20" s="65" t="s">
        <v>115</v>
      </c>
      <c r="M20" s="65">
        <v>32</v>
      </c>
      <c r="N20" s="65">
        <v>25</v>
      </c>
      <c r="O20" s="65">
        <f t="shared" si="0"/>
        <v>7</v>
      </c>
      <c r="P20" s="65"/>
    </row>
    <row r="21" spans="2:16" ht="23" x14ac:dyDescent="0.35">
      <c r="B21" s="65">
        <v>18</v>
      </c>
      <c r="C21" s="66" t="s">
        <v>111</v>
      </c>
      <c r="D21" s="65" t="s">
        <v>112</v>
      </c>
      <c r="E21" s="65" t="s">
        <v>131</v>
      </c>
      <c r="F21" s="65">
        <v>24.507777780000001</v>
      </c>
      <c r="G21" s="65">
        <v>90.775000000000006</v>
      </c>
      <c r="H21" s="65" t="s">
        <v>132</v>
      </c>
      <c r="I21" s="65">
        <v>24.756944440000002</v>
      </c>
      <c r="J21" s="65">
        <v>90.644166670000004</v>
      </c>
      <c r="K21" s="67">
        <v>9.25</v>
      </c>
      <c r="L21" s="65" t="s">
        <v>115</v>
      </c>
      <c r="M21" s="65">
        <v>32</v>
      </c>
      <c r="N21" s="65">
        <v>25</v>
      </c>
      <c r="O21" s="65">
        <f t="shared" si="0"/>
        <v>7</v>
      </c>
      <c r="P21" s="65"/>
    </row>
    <row r="22" spans="2:16" ht="23" x14ac:dyDescent="0.35">
      <c r="B22" s="65">
        <v>19</v>
      </c>
      <c r="C22" s="66" t="s">
        <v>111</v>
      </c>
      <c r="D22" s="65" t="s">
        <v>112</v>
      </c>
      <c r="E22" s="65" t="s">
        <v>132</v>
      </c>
      <c r="F22" s="65">
        <v>24.756944440000002</v>
      </c>
      <c r="G22" s="65">
        <v>90.644166670000004</v>
      </c>
      <c r="H22" s="65" t="s">
        <v>133</v>
      </c>
      <c r="I22" s="65">
        <v>24.764166670000002</v>
      </c>
      <c r="J22" s="65">
        <v>90.64</v>
      </c>
      <c r="K22" s="67">
        <v>3.62</v>
      </c>
      <c r="L22" s="65" t="s">
        <v>115</v>
      </c>
      <c r="M22" s="65">
        <v>32</v>
      </c>
      <c r="N22" s="65">
        <v>25</v>
      </c>
      <c r="O22" s="65">
        <f t="shared" si="0"/>
        <v>7</v>
      </c>
      <c r="P22" s="65"/>
    </row>
    <row r="23" spans="2:16" ht="23" x14ac:dyDescent="0.35">
      <c r="B23" s="65">
        <v>20</v>
      </c>
      <c r="C23" s="66" t="s">
        <v>111</v>
      </c>
      <c r="D23" s="65" t="s">
        <v>112</v>
      </c>
      <c r="E23" s="65" t="s">
        <v>133</v>
      </c>
      <c r="F23" s="65">
        <v>24.764166670000002</v>
      </c>
      <c r="G23" s="65">
        <v>90.64</v>
      </c>
      <c r="H23" s="65" t="s">
        <v>134</v>
      </c>
      <c r="I23" s="65">
        <v>24.893333330000001</v>
      </c>
      <c r="J23" s="65">
        <v>90.646388889999997</v>
      </c>
      <c r="K23" s="67">
        <v>9.66</v>
      </c>
      <c r="L23" s="65" t="s">
        <v>115</v>
      </c>
      <c r="M23" s="65">
        <v>32</v>
      </c>
      <c r="N23" s="65">
        <v>25</v>
      </c>
      <c r="O23" s="65">
        <f t="shared" si="0"/>
        <v>7</v>
      </c>
      <c r="P23" s="65"/>
    </row>
    <row r="24" spans="2:16" ht="23" x14ac:dyDescent="0.35">
      <c r="B24" s="65">
        <v>21</v>
      </c>
      <c r="C24" s="66" t="s">
        <v>111</v>
      </c>
      <c r="D24" s="65" t="s">
        <v>112</v>
      </c>
      <c r="E24" s="65" t="s">
        <v>134</v>
      </c>
      <c r="F24" s="65">
        <v>24.893333330000001</v>
      </c>
      <c r="G24" s="65">
        <v>90.646388889999997</v>
      </c>
      <c r="H24" s="65" t="s">
        <v>135</v>
      </c>
      <c r="I24" s="65">
        <v>24.801666669999999</v>
      </c>
      <c r="J24" s="65">
        <v>90.582499999999996</v>
      </c>
      <c r="K24" s="67">
        <v>14.68</v>
      </c>
      <c r="L24" s="65" t="s">
        <v>115</v>
      </c>
      <c r="M24" s="65">
        <v>32</v>
      </c>
      <c r="N24" s="65">
        <v>25</v>
      </c>
      <c r="O24" s="65">
        <f t="shared" si="0"/>
        <v>7</v>
      </c>
      <c r="P24" s="65"/>
    </row>
    <row r="25" spans="2:16" ht="23" x14ac:dyDescent="0.35">
      <c r="B25" s="65">
        <v>22</v>
      </c>
      <c r="C25" s="66" t="s">
        <v>111</v>
      </c>
      <c r="D25" s="65" t="s">
        <v>112</v>
      </c>
      <c r="E25" s="65" t="s">
        <v>135</v>
      </c>
      <c r="F25" s="65">
        <v>24.801666669999999</v>
      </c>
      <c r="G25" s="65">
        <v>90.582499999999996</v>
      </c>
      <c r="H25" s="65" t="s">
        <v>136</v>
      </c>
      <c r="I25" s="65">
        <v>24.890555559999999</v>
      </c>
      <c r="J25" s="65">
        <v>90.377499999999998</v>
      </c>
      <c r="K25" s="68">
        <v>4.83</v>
      </c>
      <c r="L25" s="65" t="s">
        <v>115</v>
      </c>
      <c r="M25" s="65">
        <v>48</v>
      </c>
      <c r="N25" s="65">
        <v>25</v>
      </c>
      <c r="O25" s="65">
        <f t="shared" si="0"/>
        <v>23</v>
      </c>
      <c r="P25" s="65"/>
    </row>
    <row r="26" spans="2:16" ht="23" x14ac:dyDescent="0.35">
      <c r="B26" s="65">
        <v>23</v>
      </c>
      <c r="C26" s="66" t="s">
        <v>111</v>
      </c>
      <c r="D26" s="65" t="s">
        <v>112</v>
      </c>
      <c r="E26" s="65" t="s">
        <v>136</v>
      </c>
      <c r="F26" s="65">
        <v>24.890555559999999</v>
      </c>
      <c r="G26" s="65">
        <v>90.377499999999998</v>
      </c>
      <c r="H26" s="65" t="s">
        <v>137</v>
      </c>
      <c r="I26" s="65">
        <v>24.939166669999999</v>
      </c>
      <c r="J26" s="65">
        <v>90.41333333</v>
      </c>
      <c r="K26" s="68">
        <v>12.47</v>
      </c>
      <c r="L26" s="65" t="s">
        <v>115</v>
      </c>
      <c r="M26" s="65">
        <v>48</v>
      </c>
      <c r="N26" s="65">
        <v>25</v>
      </c>
      <c r="O26" s="65">
        <f t="shared" si="0"/>
        <v>23</v>
      </c>
      <c r="P26" s="65"/>
    </row>
    <row r="27" spans="2:16" ht="23" x14ac:dyDescent="0.35">
      <c r="B27" s="65">
        <v>24</v>
      </c>
      <c r="C27" s="66" t="s">
        <v>111</v>
      </c>
      <c r="D27" s="65" t="s">
        <v>112</v>
      </c>
      <c r="E27" s="65" t="s">
        <v>137</v>
      </c>
      <c r="F27" s="65">
        <v>24.939166669999999</v>
      </c>
      <c r="G27" s="65">
        <v>90.41333333</v>
      </c>
      <c r="H27" s="65" t="s">
        <v>138</v>
      </c>
      <c r="I27" s="65">
        <v>25.07222222</v>
      </c>
      <c r="J27" s="65">
        <v>90.411388889999998</v>
      </c>
      <c r="K27" s="68">
        <v>9.25</v>
      </c>
      <c r="L27" s="65" t="s">
        <v>115</v>
      </c>
      <c r="M27" s="65">
        <v>48</v>
      </c>
      <c r="N27" s="65">
        <v>25</v>
      </c>
      <c r="O27" s="65">
        <f t="shared" si="0"/>
        <v>23</v>
      </c>
      <c r="P27" s="65"/>
    </row>
    <row r="28" spans="2:16" ht="23" x14ac:dyDescent="0.35">
      <c r="B28" s="65">
        <v>25</v>
      </c>
      <c r="C28" s="66" t="s">
        <v>111</v>
      </c>
      <c r="D28" s="65" t="s">
        <v>112</v>
      </c>
      <c r="E28" s="65" t="s">
        <v>138</v>
      </c>
      <c r="F28" s="65">
        <v>25.07222222</v>
      </c>
      <c r="G28" s="65">
        <v>90.411388889999998</v>
      </c>
      <c r="H28" s="65" t="s">
        <v>139</v>
      </c>
      <c r="I28" s="65">
        <v>25.103333330000002</v>
      </c>
      <c r="J28" s="65">
        <v>90.18305556</v>
      </c>
      <c r="K28" s="68">
        <v>8.0500000000000007</v>
      </c>
      <c r="L28" s="65" t="s">
        <v>115</v>
      </c>
      <c r="M28" s="65">
        <v>48</v>
      </c>
      <c r="N28" s="65">
        <v>25</v>
      </c>
      <c r="O28" s="65">
        <f t="shared" si="0"/>
        <v>23</v>
      </c>
      <c r="P28" s="65"/>
    </row>
    <row r="29" spans="2:16" ht="23" x14ac:dyDescent="0.35">
      <c r="B29" s="65">
        <v>26</v>
      </c>
      <c r="C29" s="66" t="s">
        <v>111</v>
      </c>
      <c r="D29" s="65" t="s">
        <v>112</v>
      </c>
      <c r="E29" s="65" t="s">
        <v>139</v>
      </c>
      <c r="F29" s="65">
        <v>25.103333330000002</v>
      </c>
      <c r="G29" s="65">
        <v>90.18305556</v>
      </c>
      <c r="H29" s="65" t="s">
        <v>140</v>
      </c>
      <c r="I29" s="65">
        <v>24.886388889999999</v>
      </c>
      <c r="J29" s="65">
        <v>90.291111110000003</v>
      </c>
      <c r="K29" s="68">
        <v>8.85</v>
      </c>
      <c r="L29" s="65" t="s">
        <v>115</v>
      </c>
      <c r="M29" s="65">
        <v>48</v>
      </c>
      <c r="N29" s="65">
        <v>25</v>
      </c>
      <c r="O29" s="65">
        <f t="shared" si="0"/>
        <v>23</v>
      </c>
      <c r="P29" s="65"/>
    </row>
    <row r="30" spans="2:16" ht="23" x14ac:dyDescent="0.35">
      <c r="B30" s="65">
        <v>27</v>
      </c>
      <c r="C30" s="66" t="s">
        <v>111</v>
      </c>
      <c r="D30" s="65" t="s">
        <v>112</v>
      </c>
      <c r="E30" s="65" t="s">
        <v>140</v>
      </c>
      <c r="F30" s="65">
        <v>24.886388889999999</v>
      </c>
      <c r="G30" s="65">
        <v>90.291111110000003</v>
      </c>
      <c r="H30" s="65" t="s">
        <v>141</v>
      </c>
      <c r="I30" s="65">
        <v>25.148611110000001</v>
      </c>
      <c r="J30" s="65">
        <v>90.024444439999996</v>
      </c>
      <c r="K30" s="68">
        <v>9.66</v>
      </c>
      <c r="L30" s="65" t="s">
        <v>115</v>
      </c>
      <c r="M30" s="65">
        <v>48</v>
      </c>
      <c r="N30" s="65">
        <v>25</v>
      </c>
      <c r="O30" s="65">
        <f t="shared" si="0"/>
        <v>23</v>
      </c>
      <c r="P30" s="65"/>
    </row>
    <row r="31" spans="2:16" ht="23" x14ac:dyDescent="0.35">
      <c r="B31" s="65">
        <v>28</v>
      </c>
      <c r="C31" s="66" t="s">
        <v>111</v>
      </c>
      <c r="D31" s="65" t="s">
        <v>112</v>
      </c>
      <c r="E31" s="65" t="s">
        <v>141</v>
      </c>
      <c r="F31" s="65">
        <v>25.148611110000001</v>
      </c>
      <c r="G31" s="65">
        <v>90.024444439999996</v>
      </c>
      <c r="H31" s="65" t="s">
        <v>142</v>
      </c>
      <c r="I31" s="65">
        <v>24.930833329999999</v>
      </c>
      <c r="J31" s="65">
        <v>89.938888890000001</v>
      </c>
      <c r="K31" s="69">
        <v>22.73</v>
      </c>
      <c r="L31" s="65" t="s">
        <v>115</v>
      </c>
      <c r="M31" s="65">
        <v>48</v>
      </c>
      <c r="N31" s="65">
        <v>25</v>
      </c>
      <c r="O31" s="65">
        <f t="shared" si="0"/>
        <v>23</v>
      </c>
      <c r="P31" s="65"/>
    </row>
    <row r="32" spans="2:16" ht="23" x14ac:dyDescent="0.35">
      <c r="B32" s="65">
        <v>29</v>
      </c>
      <c r="C32" s="66" t="s">
        <v>111</v>
      </c>
      <c r="D32" s="65" t="s">
        <v>112</v>
      </c>
      <c r="E32" s="65" t="s">
        <v>141</v>
      </c>
      <c r="F32" s="65">
        <v>25.148611110000001</v>
      </c>
      <c r="G32" s="65">
        <v>90.024444439999996</v>
      </c>
      <c r="H32" s="65" t="s">
        <v>143</v>
      </c>
      <c r="I32" s="65">
        <v>25.156388889999999</v>
      </c>
      <c r="J32" s="65">
        <v>89.912777779999999</v>
      </c>
      <c r="K32" s="68">
        <v>12.88</v>
      </c>
      <c r="L32" s="65" t="s">
        <v>115</v>
      </c>
      <c r="M32" s="65">
        <v>48</v>
      </c>
      <c r="N32" s="65">
        <v>25</v>
      </c>
      <c r="O32" s="65">
        <f t="shared" si="0"/>
        <v>23</v>
      </c>
      <c r="P32" s="65"/>
    </row>
    <row r="33" spans="2:16" ht="23" x14ac:dyDescent="0.35">
      <c r="B33" s="65">
        <v>30</v>
      </c>
      <c r="C33" s="66" t="s">
        <v>111</v>
      </c>
      <c r="D33" s="65" t="s">
        <v>112</v>
      </c>
      <c r="E33" s="65" t="s">
        <v>143</v>
      </c>
      <c r="F33" s="65">
        <v>25.156388889999999</v>
      </c>
      <c r="G33" s="65">
        <v>89.912777779999999</v>
      </c>
      <c r="H33" s="65" t="s">
        <v>144</v>
      </c>
      <c r="I33" s="65">
        <v>25.25305556</v>
      </c>
      <c r="J33" s="65">
        <v>89.857222219999997</v>
      </c>
      <c r="K33" s="68">
        <v>6.84</v>
      </c>
      <c r="L33" s="65" t="s">
        <v>115</v>
      </c>
      <c r="M33" s="65">
        <v>48</v>
      </c>
      <c r="N33" s="65">
        <v>25</v>
      </c>
      <c r="O33" s="65">
        <f t="shared" si="0"/>
        <v>23</v>
      </c>
      <c r="P33" s="65"/>
    </row>
    <row r="34" spans="2:16" ht="23" x14ac:dyDescent="0.35">
      <c r="B34" s="65">
        <v>31</v>
      </c>
      <c r="C34" s="66" t="s">
        <v>111</v>
      </c>
      <c r="D34" s="65" t="s">
        <v>112</v>
      </c>
      <c r="E34" s="65" t="s">
        <v>144</v>
      </c>
      <c r="F34" s="65">
        <v>25.25305556</v>
      </c>
      <c r="G34" s="65">
        <v>89.857222219999997</v>
      </c>
      <c r="H34" s="65" t="s">
        <v>145</v>
      </c>
      <c r="I34" s="65">
        <v>25.24138889</v>
      </c>
      <c r="J34" s="65">
        <v>89.924444440000002</v>
      </c>
      <c r="K34" s="68">
        <v>5.63</v>
      </c>
      <c r="L34" s="65" t="s">
        <v>115</v>
      </c>
      <c r="M34" s="65">
        <v>48</v>
      </c>
      <c r="N34" s="65">
        <v>25</v>
      </c>
      <c r="O34" s="65">
        <f t="shared" si="0"/>
        <v>23</v>
      </c>
      <c r="P34" s="65"/>
    </row>
    <row r="35" spans="2:16" ht="23" x14ac:dyDescent="0.35">
      <c r="B35" s="65">
        <v>32</v>
      </c>
      <c r="C35" s="66" t="s">
        <v>111</v>
      </c>
      <c r="D35" s="65" t="s">
        <v>112</v>
      </c>
      <c r="E35" s="65" t="s">
        <v>145</v>
      </c>
      <c r="F35" s="65">
        <v>25.24138889</v>
      </c>
      <c r="G35" s="65">
        <v>89.924444440000002</v>
      </c>
      <c r="H35" s="65" t="s">
        <v>146</v>
      </c>
      <c r="I35" s="65">
        <v>25.25222222</v>
      </c>
      <c r="J35" s="65">
        <v>89.855555559999999</v>
      </c>
      <c r="K35" s="68">
        <v>9.65</v>
      </c>
      <c r="L35" s="65" t="s">
        <v>115</v>
      </c>
      <c r="M35" s="65">
        <v>48</v>
      </c>
      <c r="N35" s="65">
        <v>25</v>
      </c>
      <c r="O35" s="65">
        <f t="shared" si="0"/>
        <v>23</v>
      </c>
      <c r="P35" s="65"/>
    </row>
    <row r="36" spans="2:16" ht="23" x14ac:dyDescent="0.35">
      <c r="B36" s="65">
        <v>33</v>
      </c>
      <c r="C36" s="66" t="s">
        <v>111</v>
      </c>
      <c r="D36" s="65" t="s">
        <v>112</v>
      </c>
      <c r="E36" s="65" t="s">
        <v>142</v>
      </c>
      <c r="F36" s="65">
        <v>24.930833329999999</v>
      </c>
      <c r="G36" s="65">
        <v>89.938888890000001</v>
      </c>
      <c r="H36" s="65" t="s">
        <v>147</v>
      </c>
      <c r="I36" s="65">
        <v>24.723055559999999</v>
      </c>
      <c r="J36" s="65">
        <v>89.946388889999994</v>
      </c>
      <c r="K36" s="68">
        <v>7.6</v>
      </c>
      <c r="L36" s="65" t="s">
        <v>115</v>
      </c>
      <c r="M36" s="65">
        <v>48</v>
      </c>
      <c r="N36" s="65">
        <v>5</v>
      </c>
      <c r="O36" s="65">
        <f t="shared" ref="O36:O67" si="1">M36-N36</f>
        <v>43</v>
      </c>
      <c r="P36" s="65"/>
    </row>
    <row r="37" spans="2:16" ht="23" x14ac:dyDescent="0.35">
      <c r="B37" s="65">
        <v>34</v>
      </c>
      <c r="C37" s="66" t="s">
        <v>111</v>
      </c>
      <c r="D37" s="65" t="s">
        <v>112</v>
      </c>
      <c r="E37" s="65" t="s">
        <v>147</v>
      </c>
      <c r="F37" s="65">
        <v>24.723055559999999</v>
      </c>
      <c r="G37" s="65">
        <v>89.946388889999994</v>
      </c>
      <c r="H37" s="65" t="s">
        <v>148</v>
      </c>
      <c r="I37" s="65">
        <v>24.47888889</v>
      </c>
      <c r="J37" s="65">
        <v>89.872777780000007</v>
      </c>
      <c r="K37" s="68">
        <v>26.32</v>
      </c>
      <c r="L37" s="65" t="s">
        <v>115</v>
      </c>
      <c r="M37" s="65">
        <v>48</v>
      </c>
      <c r="N37" s="65">
        <v>5</v>
      </c>
      <c r="O37" s="65">
        <f t="shared" si="1"/>
        <v>43</v>
      </c>
      <c r="P37" s="65"/>
    </row>
    <row r="38" spans="2:16" ht="23" x14ac:dyDescent="0.35">
      <c r="B38" s="65">
        <v>35</v>
      </c>
      <c r="C38" s="66" t="s">
        <v>111</v>
      </c>
      <c r="D38" s="65" t="s">
        <v>112</v>
      </c>
      <c r="E38" s="65" t="s">
        <v>148</v>
      </c>
      <c r="F38" s="65">
        <v>24.47888889</v>
      </c>
      <c r="G38" s="65">
        <v>89.872777780000007</v>
      </c>
      <c r="H38" s="65" t="s">
        <v>149</v>
      </c>
      <c r="I38" s="65">
        <v>24.491944440000001</v>
      </c>
      <c r="J38" s="65">
        <v>89.878611109999994</v>
      </c>
      <c r="K38" s="68">
        <v>11.89</v>
      </c>
      <c r="L38" s="65" t="s">
        <v>115</v>
      </c>
      <c r="M38" s="65">
        <v>48</v>
      </c>
      <c r="N38" s="65">
        <v>5</v>
      </c>
      <c r="O38" s="65">
        <f t="shared" si="1"/>
        <v>43</v>
      </c>
      <c r="P38" s="65"/>
    </row>
    <row r="39" spans="2:16" ht="23" x14ac:dyDescent="0.35">
      <c r="B39" s="70">
        <v>36</v>
      </c>
      <c r="C39" s="69" t="s">
        <v>111</v>
      </c>
      <c r="D39" s="70" t="s">
        <v>112</v>
      </c>
      <c r="E39" s="70" t="s">
        <v>135</v>
      </c>
      <c r="F39" s="70">
        <v>24.801666669999999</v>
      </c>
      <c r="G39" s="70">
        <v>90.582499999999996</v>
      </c>
      <c r="H39" s="70" t="s">
        <v>150</v>
      </c>
      <c r="I39" s="70">
        <v>24.91638889</v>
      </c>
      <c r="J39" s="70">
        <v>90.702500000000001</v>
      </c>
      <c r="K39" s="70">
        <v>6.03</v>
      </c>
      <c r="L39" s="70" t="s">
        <v>115</v>
      </c>
      <c r="M39" s="70">
        <v>48</v>
      </c>
      <c r="N39" s="70">
        <v>25</v>
      </c>
      <c r="O39" s="70">
        <f t="shared" si="1"/>
        <v>23</v>
      </c>
      <c r="P39" s="70"/>
    </row>
    <row r="40" spans="2:16" ht="23" x14ac:dyDescent="0.35">
      <c r="B40" s="71">
        <v>37</v>
      </c>
      <c r="C40" s="68" t="s">
        <v>111</v>
      </c>
      <c r="D40" s="71" t="s">
        <v>112</v>
      </c>
      <c r="E40" s="71" t="s">
        <v>150</v>
      </c>
      <c r="F40" s="71">
        <v>24.91638889</v>
      </c>
      <c r="G40" s="71">
        <v>90.702500000000001</v>
      </c>
      <c r="H40" s="71" t="s">
        <v>151</v>
      </c>
      <c r="I40" s="71">
        <v>24.97777778</v>
      </c>
      <c r="J40" s="71">
        <v>90.80805556</v>
      </c>
      <c r="K40" s="71">
        <v>12.47</v>
      </c>
      <c r="L40" s="71" t="s">
        <v>115</v>
      </c>
      <c r="M40" s="71">
        <v>48</v>
      </c>
      <c r="N40" s="71">
        <v>25</v>
      </c>
      <c r="O40" s="71">
        <f t="shared" si="1"/>
        <v>23</v>
      </c>
      <c r="P40" s="71"/>
    </row>
    <row r="41" spans="2:16" ht="23" x14ac:dyDescent="0.35">
      <c r="B41" s="65">
        <v>38</v>
      </c>
      <c r="C41" s="66" t="s">
        <v>111</v>
      </c>
      <c r="D41" s="65" t="s">
        <v>112</v>
      </c>
      <c r="E41" s="65" t="s">
        <v>151</v>
      </c>
      <c r="F41" s="65">
        <v>24.97777778</v>
      </c>
      <c r="G41" s="65">
        <v>90.80805556</v>
      </c>
      <c r="H41" s="65" t="s">
        <v>152</v>
      </c>
      <c r="I41" s="65">
        <v>24.9175</v>
      </c>
      <c r="J41" s="65">
        <v>90.775833329999998</v>
      </c>
      <c r="K41" s="65">
        <v>8.4499999999999993</v>
      </c>
      <c r="L41" s="65" t="s">
        <v>115</v>
      </c>
      <c r="M41" s="65">
        <v>48</v>
      </c>
      <c r="N41" s="65">
        <v>1</v>
      </c>
      <c r="O41" s="65">
        <f t="shared" si="1"/>
        <v>47</v>
      </c>
      <c r="P41" s="65"/>
    </row>
    <row r="42" spans="2:16" ht="23" x14ac:dyDescent="0.35">
      <c r="B42" s="65">
        <v>39</v>
      </c>
      <c r="C42" s="66" t="s">
        <v>111</v>
      </c>
      <c r="D42" s="65" t="s">
        <v>112</v>
      </c>
      <c r="E42" s="65" t="s">
        <v>152</v>
      </c>
      <c r="F42" s="65">
        <v>24.9175</v>
      </c>
      <c r="G42" s="65">
        <v>90.775833329999998</v>
      </c>
      <c r="H42" s="65" t="s">
        <v>153</v>
      </c>
      <c r="I42" s="65">
        <v>24.974444439999999</v>
      </c>
      <c r="J42" s="65">
        <v>90.670555559999997</v>
      </c>
      <c r="K42" s="65">
        <v>12.88</v>
      </c>
      <c r="L42" s="65" t="s">
        <v>115</v>
      </c>
      <c r="M42" s="65">
        <v>48</v>
      </c>
      <c r="N42" s="65">
        <v>1</v>
      </c>
      <c r="O42" s="65">
        <f t="shared" si="1"/>
        <v>47</v>
      </c>
      <c r="P42" s="65"/>
    </row>
    <row r="43" spans="2:16" ht="23" x14ac:dyDescent="0.35">
      <c r="B43" s="65">
        <v>40</v>
      </c>
      <c r="C43" s="66" t="s">
        <v>111</v>
      </c>
      <c r="D43" s="65" t="s">
        <v>112</v>
      </c>
      <c r="E43" s="65" t="s">
        <v>153</v>
      </c>
      <c r="F43" s="65">
        <v>24.974444439999999</v>
      </c>
      <c r="G43" s="65">
        <v>90.670555559999997</v>
      </c>
      <c r="H43" s="65" t="s">
        <v>154</v>
      </c>
      <c r="I43" s="65">
        <v>25.160555559999999</v>
      </c>
      <c r="J43" s="65">
        <v>90.891388890000002</v>
      </c>
      <c r="K43" s="65">
        <v>8.4499999999999993</v>
      </c>
      <c r="L43" s="65" t="s">
        <v>115</v>
      </c>
      <c r="M43" s="65">
        <v>48</v>
      </c>
      <c r="N43" s="65">
        <v>1</v>
      </c>
      <c r="O43" s="65">
        <f t="shared" si="1"/>
        <v>47</v>
      </c>
      <c r="P43" s="65"/>
    </row>
    <row r="44" spans="2:16" ht="23" x14ac:dyDescent="0.35">
      <c r="B44" s="65">
        <v>41</v>
      </c>
      <c r="C44" s="66" t="s">
        <v>111</v>
      </c>
      <c r="D44" s="65" t="s">
        <v>112</v>
      </c>
      <c r="E44" s="65" t="s">
        <v>152</v>
      </c>
      <c r="F44" s="65">
        <v>24.9175</v>
      </c>
      <c r="G44" s="65">
        <v>90.775833329999998</v>
      </c>
      <c r="H44" s="65" t="s">
        <v>155</v>
      </c>
      <c r="I44" s="65">
        <v>24.97694444</v>
      </c>
      <c r="J44" s="65">
        <v>90.789444439999997</v>
      </c>
      <c r="K44" s="65">
        <v>16.09</v>
      </c>
      <c r="L44" s="65" t="s">
        <v>115</v>
      </c>
      <c r="M44" s="65">
        <v>48</v>
      </c>
      <c r="N44" s="65">
        <v>1</v>
      </c>
      <c r="O44" s="65">
        <f t="shared" si="1"/>
        <v>47</v>
      </c>
      <c r="P44" s="65"/>
    </row>
    <row r="45" spans="2:16" ht="23" x14ac:dyDescent="0.35">
      <c r="B45" s="65">
        <v>42</v>
      </c>
      <c r="C45" s="66" t="s">
        <v>111</v>
      </c>
      <c r="D45" s="65" t="s">
        <v>112</v>
      </c>
      <c r="E45" s="65" t="s">
        <v>155</v>
      </c>
      <c r="F45" s="65">
        <v>24.97694444</v>
      </c>
      <c r="G45" s="65">
        <v>90.789444439999997</v>
      </c>
      <c r="H45" s="65" t="s">
        <v>156</v>
      </c>
      <c r="I45" s="65">
        <v>25.02305556</v>
      </c>
      <c r="J45" s="65">
        <v>90.841388890000005</v>
      </c>
      <c r="K45" s="65">
        <v>10.85</v>
      </c>
      <c r="L45" s="65" t="s">
        <v>115</v>
      </c>
      <c r="M45" s="65">
        <v>48</v>
      </c>
      <c r="N45" s="65">
        <v>1</v>
      </c>
      <c r="O45" s="65">
        <f t="shared" si="1"/>
        <v>47</v>
      </c>
      <c r="P45" s="65"/>
    </row>
    <row r="46" spans="2:16" ht="23" x14ac:dyDescent="0.35">
      <c r="B46" s="65">
        <v>43</v>
      </c>
      <c r="C46" s="66" t="s">
        <v>111</v>
      </c>
      <c r="D46" s="65" t="s">
        <v>112</v>
      </c>
      <c r="E46" s="65" t="s">
        <v>156</v>
      </c>
      <c r="F46" s="65">
        <v>25.02305556</v>
      </c>
      <c r="G46" s="65">
        <v>90.841388890000005</v>
      </c>
      <c r="H46" s="65" t="s">
        <v>157</v>
      </c>
      <c r="I46" s="65">
        <v>25.123611109999999</v>
      </c>
      <c r="J46" s="65">
        <v>91.113611109999994</v>
      </c>
      <c r="K46" s="65">
        <v>6.44</v>
      </c>
      <c r="L46" s="65" t="s">
        <v>115</v>
      </c>
      <c r="M46" s="65">
        <v>48</v>
      </c>
      <c r="N46" s="65">
        <v>1</v>
      </c>
      <c r="O46" s="65">
        <f t="shared" si="1"/>
        <v>47</v>
      </c>
      <c r="P46" s="65"/>
    </row>
    <row r="47" spans="2:16" ht="23" x14ac:dyDescent="0.35">
      <c r="B47" s="65">
        <v>44</v>
      </c>
      <c r="C47" s="66" t="s">
        <v>111</v>
      </c>
      <c r="D47" s="65" t="s">
        <v>112</v>
      </c>
      <c r="E47" s="65" t="s">
        <v>157</v>
      </c>
      <c r="F47" s="65">
        <v>25.123611109999999</v>
      </c>
      <c r="G47" s="65">
        <v>91.113611109999994</v>
      </c>
      <c r="H47" s="65" t="s">
        <v>158</v>
      </c>
      <c r="I47" s="65">
        <v>24.939166669999999</v>
      </c>
      <c r="J47" s="65">
        <v>91.076388890000004</v>
      </c>
      <c r="K47" s="65">
        <v>10.45</v>
      </c>
      <c r="L47" s="65" t="s">
        <v>115</v>
      </c>
      <c r="M47" s="65">
        <v>48</v>
      </c>
      <c r="N47" s="65">
        <v>1</v>
      </c>
      <c r="O47" s="65">
        <f t="shared" si="1"/>
        <v>47</v>
      </c>
      <c r="P47" s="65"/>
    </row>
    <row r="48" spans="2:16" ht="23" x14ac:dyDescent="0.35">
      <c r="B48" s="65">
        <v>45</v>
      </c>
      <c r="C48" s="66" t="s">
        <v>111</v>
      </c>
      <c r="D48" s="65" t="s">
        <v>112</v>
      </c>
      <c r="E48" s="65" t="s">
        <v>122</v>
      </c>
      <c r="F48" s="65">
        <v>23.898769999999999</v>
      </c>
      <c r="G48" s="65">
        <v>90.404300000000006</v>
      </c>
      <c r="H48" s="65" t="s">
        <v>159</v>
      </c>
      <c r="I48" s="65">
        <v>23.936450000000001</v>
      </c>
      <c r="J48" s="65">
        <v>90.478319999999997</v>
      </c>
      <c r="K48" s="67">
        <v>9.06</v>
      </c>
      <c r="L48" s="65" t="s">
        <v>115</v>
      </c>
      <c r="M48" s="65">
        <v>48</v>
      </c>
      <c r="N48" s="65">
        <v>35</v>
      </c>
      <c r="O48" s="65">
        <f t="shared" si="1"/>
        <v>13</v>
      </c>
      <c r="P48" s="65"/>
    </row>
    <row r="49" spans="2:16" ht="23" x14ac:dyDescent="0.35">
      <c r="B49" s="65">
        <v>46</v>
      </c>
      <c r="C49" s="66" t="s">
        <v>111</v>
      </c>
      <c r="D49" s="65" t="s">
        <v>112</v>
      </c>
      <c r="E49" s="65" t="s">
        <v>159</v>
      </c>
      <c r="F49" s="65">
        <v>23.936450000000001</v>
      </c>
      <c r="G49" s="65">
        <v>90.478319999999997</v>
      </c>
      <c r="H49" s="65" t="s">
        <v>160</v>
      </c>
      <c r="I49" s="65">
        <v>23.92878</v>
      </c>
      <c r="J49" s="65">
        <v>90.554019999999994</v>
      </c>
      <c r="K49" s="67">
        <v>7.64</v>
      </c>
      <c r="L49" s="65" t="s">
        <v>115</v>
      </c>
      <c r="M49" s="65">
        <v>48</v>
      </c>
      <c r="N49" s="65">
        <v>35</v>
      </c>
      <c r="O49" s="65">
        <f t="shared" si="1"/>
        <v>13</v>
      </c>
      <c r="P49" s="65"/>
    </row>
    <row r="50" spans="2:16" ht="23" x14ac:dyDescent="0.35">
      <c r="B50" s="65">
        <v>47</v>
      </c>
      <c r="C50" s="66" t="s">
        <v>111</v>
      </c>
      <c r="D50" s="65" t="s">
        <v>112</v>
      </c>
      <c r="E50" s="65" t="s">
        <v>160</v>
      </c>
      <c r="F50" s="65">
        <v>23.92878</v>
      </c>
      <c r="G50" s="65">
        <v>90.554019999999994</v>
      </c>
      <c r="H50" s="65" t="s">
        <v>161</v>
      </c>
      <c r="I50" s="65">
        <v>23.940629999999999</v>
      </c>
      <c r="J50" s="65">
        <v>90.619789999999995</v>
      </c>
      <c r="K50" s="67">
        <v>8.4600000000000009</v>
      </c>
      <c r="L50" s="65" t="s">
        <v>115</v>
      </c>
      <c r="M50" s="65">
        <v>48</v>
      </c>
      <c r="N50" s="65">
        <v>35</v>
      </c>
      <c r="O50" s="65">
        <f t="shared" si="1"/>
        <v>13</v>
      </c>
      <c r="P50" s="65"/>
    </row>
    <row r="51" spans="2:16" ht="23" x14ac:dyDescent="0.35">
      <c r="B51" s="65">
        <v>48</v>
      </c>
      <c r="C51" s="66" t="s">
        <v>111</v>
      </c>
      <c r="D51" s="65" t="s">
        <v>112</v>
      </c>
      <c r="E51" s="65" t="s">
        <v>161</v>
      </c>
      <c r="F51" s="65">
        <v>23.940629999999999</v>
      </c>
      <c r="G51" s="65">
        <v>90.619789999999995</v>
      </c>
      <c r="H51" s="65" t="s">
        <v>162</v>
      </c>
      <c r="I51" s="65">
        <v>23.93065</v>
      </c>
      <c r="J51" s="65">
        <v>90.674239999999998</v>
      </c>
      <c r="K51" s="67">
        <v>4.43</v>
      </c>
      <c r="L51" s="65" t="s">
        <v>115</v>
      </c>
      <c r="M51" s="65">
        <v>48</v>
      </c>
      <c r="N51" s="65">
        <v>35</v>
      </c>
      <c r="O51" s="65">
        <f t="shared" si="1"/>
        <v>13</v>
      </c>
      <c r="P51" s="65"/>
    </row>
    <row r="52" spans="2:16" ht="23" x14ac:dyDescent="0.35">
      <c r="B52" s="65">
        <v>49</v>
      </c>
      <c r="C52" s="66" t="s">
        <v>111</v>
      </c>
      <c r="D52" s="65" t="s">
        <v>112</v>
      </c>
      <c r="E52" s="65" t="s">
        <v>162</v>
      </c>
      <c r="F52" s="65">
        <v>23.93065</v>
      </c>
      <c r="G52" s="65">
        <v>90.674239999999998</v>
      </c>
      <c r="H52" s="65" t="s">
        <v>163</v>
      </c>
      <c r="I52" s="65">
        <v>23.933620000000001</v>
      </c>
      <c r="J52" s="65">
        <v>90.722949999999997</v>
      </c>
      <c r="K52" s="67">
        <v>4.3600000000000003</v>
      </c>
      <c r="L52" s="65" t="s">
        <v>115</v>
      </c>
      <c r="M52" s="65">
        <v>48</v>
      </c>
      <c r="N52" s="65">
        <v>35</v>
      </c>
      <c r="O52" s="65">
        <f t="shared" si="1"/>
        <v>13</v>
      </c>
      <c r="P52" s="65"/>
    </row>
    <row r="53" spans="2:16" ht="23" x14ac:dyDescent="0.35">
      <c r="B53" s="65">
        <v>50</v>
      </c>
      <c r="C53" s="66" t="s">
        <v>111</v>
      </c>
      <c r="D53" s="65" t="s">
        <v>112</v>
      </c>
      <c r="E53" s="65" t="s">
        <v>163</v>
      </c>
      <c r="F53" s="65">
        <v>23.933620000000001</v>
      </c>
      <c r="G53" s="65">
        <v>90.722949999999997</v>
      </c>
      <c r="H53" s="65" t="s">
        <v>164</v>
      </c>
      <c r="I53" s="65">
        <v>23.936050000000002</v>
      </c>
      <c r="J53" s="65">
        <v>90.772369999999995</v>
      </c>
      <c r="K53" s="67">
        <v>5.23</v>
      </c>
      <c r="L53" s="65" t="s">
        <v>115</v>
      </c>
      <c r="M53" s="65">
        <v>48</v>
      </c>
      <c r="N53" s="65">
        <v>35</v>
      </c>
      <c r="O53" s="65">
        <f t="shared" si="1"/>
        <v>13</v>
      </c>
      <c r="P53" s="65"/>
    </row>
    <row r="54" spans="2:16" ht="23" x14ac:dyDescent="0.35">
      <c r="B54" s="65">
        <v>51</v>
      </c>
      <c r="C54" s="66" t="s">
        <v>111</v>
      </c>
      <c r="D54" s="65" t="s">
        <v>112</v>
      </c>
      <c r="E54" s="65" t="s">
        <v>164</v>
      </c>
      <c r="F54" s="65">
        <v>23.936050000000002</v>
      </c>
      <c r="G54" s="65">
        <v>90.772369999999995</v>
      </c>
      <c r="H54" s="65" t="s">
        <v>165</v>
      </c>
      <c r="I54" s="65">
        <v>23.95317</v>
      </c>
      <c r="J54" s="65">
        <v>90.798379999999995</v>
      </c>
      <c r="K54" s="67">
        <v>3.22</v>
      </c>
      <c r="L54" s="65" t="s">
        <v>115</v>
      </c>
      <c r="M54" s="65">
        <v>48</v>
      </c>
      <c r="N54" s="65">
        <v>35</v>
      </c>
      <c r="O54" s="65">
        <f t="shared" si="1"/>
        <v>13</v>
      </c>
      <c r="P54" s="65"/>
    </row>
    <row r="55" spans="2:16" ht="23" x14ac:dyDescent="0.35">
      <c r="B55" s="65">
        <v>52</v>
      </c>
      <c r="C55" s="66" t="s">
        <v>111</v>
      </c>
      <c r="D55" s="65" t="s">
        <v>112</v>
      </c>
      <c r="E55" s="65" t="s">
        <v>165</v>
      </c>
      <c r="F55" s="65">
        <v>23.95317</v>
      </c>
      <c r="G55" s="65">
        <v>90.798379999999995</v>
      </c>
      <c r="H55" s="65" t="s">
        <v>166</v>
      </c>
      <c r="I55" s="65">
        <v>23.992069999999998</v>
      </c>
      <c r="J55" s="65">
        <v>90.865390000000005</v>
      </c>
      <c r="K55" s="67">
        <v>8.0500000000000007</v>
      </c>
      <c r="L55" s="65" t="s">
        <v>115</v>
      </c>
      <c r="M55" s="65">
        <v>48</v>
      </c>
      <c r="N55" s="65">
        <v>35</v>
      </c>
      <c r="O55" s="65">
        <f t="shared" si="1"/>
        <v>13</v>
      </c>
      <c r="P55" s="65"/>
    </row>
    <row r="56" spans="2:16" ht="23" x14ac:dyDescent="0.35">
      <c r="B56" s="65">
        <v>53</v>
      </c>
      <c r="C56" s="66" t="s">
        <v>111</v>
      </c>
      <c r="D56" s="65" t="s">
        <v>112</v>
      </c>
      <c r="E56" s="65" t="s">
        <v>166</v>
      </c>
      <c r="F56" s="65">
        <v>23.992069999999998</v>
      </c>
      <c r="G56" s="65">
        <v>90.865390000000005</v>
      </c>
      <c r="H56" s="65" t="s">
        <v>167</v>
      </c>
      <c r="I56" s="65">
        <v>24.005680000000002</v>
      </c>
      <c r="J56" s="65">
        <v>90.902270000000001</v>
      </c>
      <c r="K56" s="67">
        <v>4.0199999999999996</v>
      </c>
      <c r="L56" s="65" t="s">
        <v>115</v>
      </c>
      <c r="M56" s="65">
        <v>48</v>
      </c>
      <c r="N56" s="65">
        <v>35</v>
      </c>
      <c r="O56" s="65">
        <f t="shared" si="1"/>
        <v>13</v>
      </c>
      <c r="P56" s="65"/>
    </row>
    <row r="57" spans="2:16" ht="23" x14ac:dyDescent="0.35">
      <c r="B57" s="65">
        <v>54</v>
      </c>
      <c r="C57" s="66" t="s">
        <v>111</v>
      </c>
      <c r="D57" s="65" t="s">
        <v>112</v>
      </c>
      <c r="E57" s="65" t="s">
        <v>167</v>
      </c>
      <c r="F57" s="65">
        <v>24.005680000000002</v>
      </c>
      <c r="G57" s="65">
        <v>90.902270000000001</v>
      </c>
      <c r="H57" s="65" t="s">
        <v>168</v>
      </c>
      <c r="I57" s="65">
        <v>24.023209999999999</v>
      </c>
      <c r="J57" s="65">
        <v>90.948909999999998</v>
      </c>
      <c r="K57" s="67">
        <v>5.24</v>
      </c>
      <c r="L57" s="65" t="s">
        <v>115</v>
      </c>
      <c r="M57" s="65">
        <v>48</v>
      </c>
      <c r="N57" s="65">
        <v>35</v>
      </c>
      <c r="O57" s="65">
        <f t="shared" si="1"/>
        <v>13</v>
      </c>
      <c r="P57" s="65"/>
    </row>
    <row r="58" spans="2:16" ht="23" x14ac:dyDescent="0.35">
      <c r="B58" s="65">
        <v>55</v>
      </c>
      <c r="C58" s="66" t="s">
        <v>111</v>
      </c>
      <c r="D58" s="65" t="s">
        <v>112</v>
      </c>
      <c r="E58" s="65" t="s">
        <v>168</v>
      </c>
      <c r="F58" s="65">
        <v>24.023209999999999</v>
      </c>
      <c r="G58" s="65">
        <v>90.948909999999998</v>
      </c>
      <c r="H58" s="65" t="s">
        <v>169</v>
      </c>
      <c r="I58" s="65">
        <v>24.050039999999999</v>
      </c>
      <c r="J58" s="65">
        <v>90.979190000000003</v>
      </c>
      <c r="K58" s="67">
        <v>4.0199999999999996</v>
      </c>
      <c r="L58" s="65" t="s">
        <v>115</v>
      </c>
      <c r="M58" s="65">
        <v>48</v>
      </c>
      <c r="N58" s="65">
        <v>35</v>
      </c>
      <c r="O58" s="65">
        <f t="shared" si="1"/>
        <v>13</v>
      </c>
      <c r="P58" s="65"/>
    </row>
    <row r="59" spans="2:16" ht="23" x14ac:dyDescent="0.35">
      <c r="B59" s="65">
        <v>56</v>
      </c>
      <c r="C59" s="66" t="s">
        <v>111</v>
      </c>
      <c r="D59" s="65" t="s">
        <v>112</v>
      </c>
      <c r="E59" s="65" t="s">
        <v>169</v>
      </c>
      <c r="F59" s="65">
        <v>24.050039999999999</v>
      </c>
      <c r="G59" s="65">
        <v>90.979190000000003</v>
      </c>
      <c r="H59" s="65" t="s">
        <v>170</v>
      </c>
      <c r="I59" s="65">
        <v>24.03857</v>
      </c>
      <c r="J59" s="65">
        <v>91.001519999999999</v>
      </c>
      <c r="K59" s="67">
        <v>3.2</v>
      </c>
      <c r="L59" s="65" t="s">
        <v>115</v>
      </c>
      <c r="M59" s="65">
        <v>48</v>
      </c>
      <c r="N59" s="65">
        <v>35</v>
      </c>
      <c r="O59" s="65">
        <f t="shared" si="1"/>
        <v>13</v>
      </c>
      <c r="P59" s="65"/>
    </row>
    <row r="60" spans="2:16" ht="23" x14ac:dyDescent="0.35">
      <c r="B60" s="65">
        <v>57</v>
      </c>
      <c r="C60" s="66" t="s">
        <v>111</v>
      </c>
      <c r="D60" s="65" t="s">
        <v>112</v>
      </c>
      <c r="E60" s="65" t="s">
        <v>170</v>
      </c>
      <c r="F60" s="65">
        <v>24.03857</v>
      </c>
      <c r="G60" s="65">
        <v>91.001519999999999</v>
      </c>
      <c r="H60" s="65" t="s">
        <v>171</v>
      </c>
      <c r="I60" s="65">
        <v>24.010999999999999</v>
      </c>
      <c r="J60" s="65">
        <v>91.038349999999994</v>
      </c>
      <c r="K60" s="67">
        <v>4.45</v>
      </c>
      <c r="L60" s="65" t="s">
        <v>115</v>
      </c>
      <c r="M60" s="65">
        <v>48</v>
      </c>
      <c r="N60" s="65">
        <v>35</v>
      </c>
      <c r="O60" s="65">
        <f t="shared" si="1"/>
        <v>13</v>
      </c>
      <c r="P60" s="65"/>
    </row>
    <row r="61" spans="2:16" ht="23" x14ac:dyDescent="0.35">
      <c r="B61" s="65">
        <v>58</v>
      </c>
      <c r="C61" s="66" t="s">
        <v>111</v>
      </c>
      <c r="D61" s="65" t="s">
        <v>112</v>
      </c>
      <c r="E61" s="65" t="s">
        <v>171</v>
      </c>
      <c r="F61" s="65">
        <v>24.010999999999999</v>
      </c>
      <c r="G61" s="65">
        <v>91.038349999999994</v>
      </c>
      <c r="H61" s="65" t="s">
        <v>172</v>
      </c>
      <c r="I61" s="65">
        <v>23.966989999999999</v>
      </c>
      <c r="J61" s="65">
        <v>91.10839</v>
      </c>
      <c r="K61" s="67">
        <v>9.26</v>
      </c>
      <c r="L61" s="65" t="s">
        <v>115</v>
      </c>
      <c r="M61" s="65">
        <v>48</v>
      </c>
      <c r="N61" s="65">
        <v>33</v>
      </c>
      <c r="O61" s="65">
        <f t="shared" si="1"/>
        <v>15</v>
      </c>
      <c r="P61" s="65"/>
    </row>
    <row r="62" spans="2:16" ht="23" x14ac:dyDescent="0.35">
      <c r="B62" s="65">
        <v>59</v>
      </c>
      <c r="C62" s="66" t="s">
        <v>111</v>
      </c>
      <c r="D62" s="65" t="s">
        <v>112</v>
      </c>
      <c r="E62" s="65" t="s">
        <v>172</v>
      </c>
      <c r="F62" s="65">
        <v>23.966989999999999</v>
      </c>
      <c r="G62" s="65">
        <v>91.10839</v>
      </c>
      <c r="H62" s="65" t="s">
        <v>173</v>
      </c>
      <c r="I62" s="65">
        <v>23.917867000000001</v>
      </c>
      <c r="J62" s="65">
        <v>91.143218000000005</v>
      </c>
      <c r="K62" s="67">
        <v>6.84</v>
      </c>
      <c r="L62" s="65" t="s">
        <v>115</v>
      </c>
      <c r="M62" s="65">
        <v>48</v>
      </c>
      <c r="N62" s="65">
        <v>33</v>
      </c>
      <c r="O62" s="65">
        <f t="shared" si="1"/>
        <v>15</v>
      </c>
      <c r="P62" s="65"/>
    </row>
    <row r="63" spans="2:16" ht="23" x14ac:dyDescent="0.35">
      <c r="B63" s="65">
        <v>60</v>
      </c>
      <c r="C63" s="66" t="s">
        <v>111</v>
      </c>
      <c r="D63" s="65" t="s">
        <v>112</v>
      </c>
      <c r="E63" s="65" t="s">
        <v>173</v>
      </c>
      <c r="F63" s="65">
        <v>23.917867000000001</v>
      </c>
      <c r="G63" s="65">
        <v>91.143218000000005</v>
      </c>
      <c r="H63" s="65" t="s">
        <v>174</v>
      </c>
      <c r="I63" s="65">
        <v>23.869408</v>
      </c>
      <c r="J63" s="65">
        <v>91.20599</v>
      </c>
      <c r="K63" s="67">
        <v>13.98</v>
      </c>
      <c r="L63" s="65" t="s">
        <v>115</v>
      </c>
      <c r="M63" s="65">
        <v>48</v>
      </c>
      <c r="N63" s="65">
        <v>33</v>
      </c>
      <c r="O63" s="65">
        <f t="shared" si="1"/>
        <v>15</v>
      </c>
      <c r="P63" s="65"/>
    </row>
    <row r="64" spans="2:16" ht="23" x14ac:dyDescent="0.35">
      <c r="B64" s="65">
        <v>61</v>
      </c>
      <c r="C64" s="66" t="s">
        <v>111</v>
      </c>
      <c r="D64" s="65" t="s">
        <v>112</v>
      </c>
      <c r="E64" s="65" t="s">
        <v>169</v>
      </c>
      <c r="F64" s="65">
        <v>24.050039999999999</v>
      </c>
      <c r="G64" s="65">
        <v>90.979190000000003</v>
      </c>
      <c r="H64" s="65" t="s">
        <v>175</v>
      </c>
      <c r="I64" s="65">
        <v>24.15109</v>
      </c>
      <c r="J64" s="65">
        <v>90.928610000000006</v>
      </c>
      <c r="K64" s="67">
        <v>13.68</v>
      </c>
      <c r="L64" s="65" t="s">
        <v>115</v>
      </c>
      <c r="M64" s="65">
        <v>48</v>
      </c>
      <c r="N64" s="65">
        <v>25</v>
      </c>
      <c r="O64" s="65">
        <f t="shared" si="1"/>
        <v>23</v>
      </c>
      <c r="P64" s="65"/>
    </row>
    <row r="65" spans="2:16" ht="23" x14ac:dyDescent="0.35">
      <c r="B65" s="65">
        <v>62</v>
      </c>
      <c r="C65" s="66" t="s">
        <v>111</v>
      </c>
      <c r="D65" s="65" t="s">
        <v>112</v>
      </c>
      <c r="E65" s="65" t="s">
        <v>175</v>
      </c>
      <c r="F65" s="65">
        <v>24.15109</v>
      </c>
      <c r="G65" s="65">
        <v>90.928610000000006</v>
      </c>
      <c r="H65" s="65" t="s">
        <v>176</v>
      </c>
      <c r="I65" s="65">
        <v>24.24583333</v>
      </c>
      <c r="J65" s="65">
        <v>90.915833329999998</v>
      </c>
      <c r="K65" s="68">
        <v>8.0399999999999991</v>
      </c>
      <c r="L65" s="65" t="s">
        <v>115</v>
      </c>
      <c r="M65" s="65">
        <v>48</v>
      </c>
      <c r="N65" s="65">
        <v>25</v>
      </c>
      <c r="O65" s="65">
        <f t="shared" si="1"/>
        <v>23</v>
      </c>
      <c r="P65" s="65"/>
    </row>
    <row r="66" spans="2:16" ht="23" x14ac:dyDescent="0.35">
      <c r="B66" s="65">
        <v>63</v>
      </c>
      <c r="C66" s="66" t="s">
        <v>111</v>
      </c>
      <c r="D66" s="65" t="s">
        <v>112</v>
      </c>
      <c r="E66" s="65" t="s">
        <v>176</v>
      </c>
      <c r="F66" s="65">
        <v>24.24583333</v>
      </c>
      <c r="G66" s="65">
        <v>90.915833329999998</v>
      </c>
      <c r="H66" s="65" t="s">
        <v>177</v>
      </c>
      <c r="I66" s="65">
        <v>24.515000000000001</v>
      </c>
      <c r="J66" s="65">
        <v>91.058333329999996</v>
      </c>
      <c r="K66" s="68">
        <v>10.72</v>
      </c>
      <c r="L66" s="65" t="s">
        <v>115</v>
      </c>
      <c r="M66" s="65">
        <v>48</v>
      </c>
      <c r="N66" s="65">
        <v>25</v>
      </c>
      <c r="O66" s="65">
        <f t="shared" si="1"/>
        <v>23</v>
      </c>
      <c r="P66" s="65"/>
    </row>
    <row r="67" spans="2:16" ht="23" x14ac:dyDescent="0.35">
      <c r="B67" s="65">
        <v>64</v>
      </c>
      <c r="C67" s="66" t="s">
        <v>111</v>
      </c>
      <c r="D67" s="65" t="s">
        <v>112</v>
      </c>
      <c r="E67" s="65" t="s">
        <v>177</v>
      </c>
      <c r="F67" s="65">
        <v>24.515000000000001</v>
      </c>
      <c r="G67" s="65">
        <v>91.058333329999996</v>
      </c>
      <c r="H67" s="65" t="s">
        <v>178</v>
      </c>
      <c r="I67" s="65">
        <v>24.481111110000001</v>
      </c>
      <c r="J67" s="65">
        <v>90.949166669999997</v>
      </c>
      <c r="K67" s="68">
        <v>5.63</v>
      </c>
      <c r="L67" s="65" t="s">
        <v>115</v>
      </c>
      <c r="M67" s="65">
        <v>48</v>
      </c>
      <c r="N67" s="65">
        <v>25</v>
      </c>
      <c r="O67" s="65">
        <f t="shared" si="1"/>
        <v>23</v>
      </c>
      <c r="P67" s="65"/>
    </row>
    <row r="68" spans="2:16" ht="23" x14ac:dyDescent="0.35">
      <c r="B68" s="65">
        <v>65</v>
      </c>
      <c r="C68" s="66" t="s">
        <v>111</v>
      </c>
      <c r="D68" s="65" t="s">
        <v>112</v>
      </c>
      <c r="E68" s="65" t="s">
        <v>178</v>
      </c>
      <c r="F68" s="65">
        <v>24.481111110000001</v>
      </c>
      <c r="G68" s="65">
        <v>90.949166669999997</v>
      </c>
      <c r="H68" s="65" t="s">
        <v>179</v>
      </c>
      <c r="I68" s="65">
        <v>24.571388890000001</v>
      </c>
      <c r="J68" s="65">
        <v>90.875833330000006</v>
      </c>
      <c r="K68" s="68">
        <v>10.46</v>
      </c>
      <c r="L68" s="65" t="s">
        <v>115</v>
      </c>
      <c r="M68" s="65">
        <v>48</v>
      </c>
      <c r="N68" s="65">
        <v>25</v>
      </c>
      <c r="O68" s="65">
        <f t="shared" ref="O68:O99" si="2">M68-N68</f>
        <v>23</v>
      </c>
      <c r="P68" s="65"/>
    </row>
    <row r="69" spans="2:16" ht="23" x14ac:dyDescent="0.35">
      <c r="B69" s="65">
        <v>66</v>
      </c>
      <c r="C69" s="66" t="s">
        <v>111</v>
      </c>
      <c r="D69" s="65" t="s">
        <v>112</v>
      </c>
      <c r="E69" s="65" t="s">
        <v>179</v>
      </c>
      <c r="F69" s="65">
        <v>24.571388890000001</v>
      </c>
      <c r="G69" s="65">
        <v>90.875833330000006</v>
      </c>
      <c r="H69" s="65" t="s">
        <v>180</v>
      </c>
      <c r="I69" s="65">
        <v>24.776111109999999</v>
      </c>
      <c r="J69" s="65">
        <v>90.980555559999999</v>
      </c>
      <c r="K69" s="68">
        <v>18.100000000000001</v>
      </c>
      <c r="L69" s="65" t="s">
        <v>115</v>
      </c>
      <c r="M69" s="65">
        <v>48</v>
      </c>
      <c r="N69" s="65">
        <v>25</v>
      </c>
      <c r="O69" s="65">
        <f t="shared" si="2"/>
        <v>23</v>
      </c>
      <c r="P69" s="65"/>
    </row>
    <row r="70" spans="2:16" ht="23" x14ac:dyDescent="0.35">
      <c r="B70" s="65">
        <v>67</v>
      </c>
      <c r="C70" s="66" t="s">
        <v>111</v>
      </c>
      <c r="D70" s="65" t="s">
        <v>112</v>
      </c>
      <c r="E70" s="65" t="s">
        <v>180</v>
      </c>
      <c r="F70" s="65">
        <v>24.776111109999999</v>
      </c>
      <c r="G70" s="65">
        <v>90.980555559999999</v>
      </c>
      <c r="H70" s="65" t="s">
        <v>181</v>
      </c>
      <c r="I70" s="65">
        <v>24.761111110000002</v>
      </c>
      <c r="J70" s="65">
        <v>90.921388890000003</v>
      </c>
      <c r="K70" s="68">
        <v>8.0500000000000007</v>
      </c>
      <c r="L70" s="65" t="s">
        <v>115</v>
      </c>
      <c r="M70" s="65">
        <v>48</v>
      </c>
      <c r="N70" s="65">
        <v>25</v>
      </c>
      <c r="O70" s="65">
        <f t="shared" si="2"/>
        <v>23</v>
      </c>
      <c r="P70" s="65"/>
    </row>
    <row r="71" spans="2:16" ht="23" x14ac:dyDescent="0.35">
      <c r="B71" s="65">
        <v>68</v>
      </c>
      <c r="C71" s="66" t="s">
        <v>111</v>
      </c>
      <c r="D71" s="65" t="s">
        <v>112</v>
      </c>
      <c r="E71" s="65" t="s">
        <v>181</v>
      </c>
      <c r="F71" s="65">
        <v>24.761111110000002</v>
      </c>
      <c r="G71" s="65">
        <v>90.921388890000003</v>
      </c>
      <c r="H71" s="65" t="s">
        <v>182</v>
      </c>
      <c r="I71" s="65">
        <v>24.775833330000001</v>
      </c>
      <c r="J71" s="65">
        <v>90.72583333</v>
      </c>
      <c r="K71" s="68">
        <v>7.64</v>
      </c>
      <c r="L71" s="65" t="s">
        <v>115</v>
      </c>
      <c r="M71" s="65">
        <v>48</v>
      </c>
      <c r="N71" s="65">
        <v>25</v>
      </c>
      <c r="O71" s="65">
        <f t="shared" si="2"/>
        <v>23</v>
      </c>
      <c r="P71" s="65"/>
    </row>
    <row r="72" spans="2:16" ht="23" x14ac:dyDescent="0.35">
      <c r="B72" s="65">
        <v>69</v>
      </c>
      <c r="C72" s="66" t="s">
        <v>111</v>
      </c>
      <c r="D72" s="65" t="s">
        <v>112</v>
      </c>
      <c r="E72" s="65" t="s">
        <v>182</v>
      </c>
      <c r="F72" s="65">
        <v>24.775833330000001</v>
      </c>
      <c r="G72" s="65">
        <v>90.72583333</v>
      </c>
      <c r="H72" s="65" t="s">
        <v>183</v>
      </c>
      <c r="I72" s="65">
        <v>24.824444440000001</v>
      </c>
      <c r="J72" s="65">
        <v>90.668055559999999</v>
      </c>
      <c r="K72" s="68">
        <v>5.63</v>
      </c>
      <c r="L72" s="65" t="s">
        <v>115</v>
      </c>
      <c r="M72" s="65">
        <v>48</v>
      </c>
      <c r="N72" s="65">
        <v>25</v>
      </c>
      <c r="O72" s="65">
        <f t="shared" si="2"/>
        <v>23</v>
      </c>
      <c r="P72" s="65"/>
    </row>
    <row r="73" spans="2:16" ht="23" x14ac:dyDescent="0.35">
      <c r="B73" s="65">
        <v>70</v>
      </c>
      <c r="C73" s="66" t="s">
        <v>111</v>
      </c>
      <c r="D73" s="65" t="s">
        <v>112</v>
      </c>
      <c r="E73" s="65" t="s">
        <v>183</v>
      </c>
      <c r="F73" s="65">
        <v>24.824444440000001</v>
      </c>
      <c r="G73" s="65">
        <v>90.668055559999999</v>
      </c>
      <c r="H73" s="65" t="s">
        <v>151</v>
      </c>
      <c r="I73" s="65">
        <v>24.97777778</v>
      </c>
      <c r="J73" s="65">
        <v>90.80805556</v>
      </c>
      <c r="K73" s="68">
        <v>9.07</v>
      </c>
      <c r="L73" s="65" t="s">
        <v>115</v>
      </c>
      <c r="M73" s="65">
        <v>48</v>
      </c>
      <c r="N73" s="65">
        <v>25</v>
      </c>
      <c r="O73" s="65">
        <f t="shared" si="2"/>
        <v>23</v>
      </c>
      <c r="P73" s="65"/>
    </row>
    <row r="74" spans="2:16" ht="23" x14ac:dyDescent="0.35">
      <c r="B74" s="65">
        <v>71</v>
      </c>
      <c r="C74" s="66" t="s">
        <v>111</v>
      </c>
      <c r="D74" s="65" t="s">
        <v>112</v>
      </c>
      <c r="E74" s="65" t="s">
        <v>151</v>
      </c>
      <c r="F74" s="65">
        <v>24.97777778</v>
      </c>
      <c r="G74" s="65">
        <v>90.80805556</v>
      </c>
      <c r="H74" s="65" t="s">
        <v>150</v>
      </c>
      <c r="I74" s="65">
        <v>24.91638889</v>
      </c>
      <c r="J74" s="65">
        <v>90.702500000000001</v>
      </c>
      <c r="K74" s="68">
        <v>12.47</v>
      </c>
      <c r="L74" s="65" t="s">
        <v>115</v>
      </c>
      <c r="M74" s="65">
        <v>48</v>
      </c>
      <c r="N74" s="65">
        <v>25</v>
      </c>
      <c r="O74" s="65">
        <f t="shared" si="2"/>
        <v>23</v>
      </c>
      <c r="P74" s="65"/>
    </row>
    <row r="75" spans="2:16" ht="23" x14ac:dyDescent="0.35">
      <c r="B75" s="65">
        <v>72</v>
      </c>
      <c r="C75" s="66" t="s">
        <v>111</v>
      </c>
      <c r="D75" s="65" t="s">
        <v>112</v>
      </c>
      <c r="E75" s="65" t="s">
        <v>174</v>
      </c>
      <c r="F75" s="65">
        <v>23.869408</v>
      </c>
      <c r="G75" s="65">
        <v>91.20599</v>
      </c>
      <c r="H75" s="65" t="s">
        <v>184</v>
      </c>
      <c r="I75" s="65">
        <v>23.893166000000001</v>
      </c>
      <c r="J75" s="65">
        <v>91.220768000000007</v>
      </c>
      <c r="K75" s="67">
        <v>3.22</v>
      </c>
      <c r="L75" s="65" t="s">
        <v>115</v>
      </c>
      <c r="M75" s="65">
        <v>48</v>
      </c>
      <c r="N75" s="65">
        <v>30</v>
      </c>
      <c r="O75" s="65">
        <f t="shared" si="2"/>
        <v>18</v>
      </c>
      <c r="P75" s="65"/>
    </row>
    <row r="76" spans="2:16" ht="23" x14ac:dyDescent="0.35">
      <c r="B76" s="65">
        <v>73</v>
      </c>
      <c r="C76" s="66" t="s">
        <v>111</v>
      </c>
      <c r="D76" s="65" t="s">
        <v>112</v>
      </c>
      <c r="E76" s="65" t="s">
        <v>184</v>
      </c>
      <c r="F76" s="65">
        <v>23.893166000000001</v>
      </c>
      <c r="G76" s="65">
        <v>91.220768000000007</v>
      </c>
      <c r="H76" s="65" t="s">
        <v>185</v>
      </c>
      <c r="I76" s="65">
        <v>23.964019</v>
      </c>
      <c r="J76" s="65">
        <v>91.265209999999996</v>
      </c>
      <c r="K76" s="67">
        <v>9.25</v>
      </c>
      <c r="L76" s="65" t="s">
        <v>115</v>
      </c>
      <c r="M76" s="65">
        <v>48</v>
      </c>
      <c r="N76" s="65">
        <v>30</v>
      </c>
      <c r="O76" s="65">
        <f t="shared" si="2"/>
        <v>18</v>
      </c>
      <c r="P76" s="65"/>
    </row>
    <row r="77" spans="2:16" ht="23" x14ac:dyDescent="0.35">
      <c r="B77" s="65">
        <v>74</v>
      </c>
      <c r="C77" s="66" t="s">
        <v>111</v>
      </c>
      <c r="D77" s="65" t="s">
        <v>112</v>
      </c>
      <c r="E77" s="65" t="s">
        <v>185</v>
      </c>
      <c r="F77" s="65">
        <v>23.964019</v>
      </c>
      <c r="G77" s="65">
        <v>91.265209999999996</v>
      </c>
      <c r="H77" s="65" t="s">
        <v>186</v>
      </c>
      <c r="I77" s="65">
        <v>24.017357000000001</v>
      </c>
      <c r="J77" s="65">
        <v>91.311037999999996</v>
      </c>
      <c r="K77" s="67">
        <v>7.69</v>
      </c>
      <c r="L77" s="65" t="s">
        <v>115</v>
      </c>
      <c r="M77" s="65">
        <v>48</v>
      </c>
      <c r="N77" s="65">
        <v>30</v>
      </c>
      <c r="O77" s="65">
        <f t="shared" si="2"/>
        <v>18</v>
      </c>
      <c r="P77" s="65"/>
    </row>
    <row r="78" spans="2:16" ht="23" x14ac:dyDescent="0.35">
      <c r="B78" s="65">
        <v>75</v>
      </c>
      <c r="C78" s="66" t="s">
        <v>111</v>
      </c>
      <c r="D78" s="65" t="s">
        <v>112</v>
      </c>
      <c r="E78" s="65" t="s">
        <v>186</v>
      </c>
      <c r="F78" s="65">
        <v>24.017357000000001</v>
      </c>
      <c r="G78" s="65">
        <v>91.311037999999996</v>
      </c>
      <c r="H78" s="65" t="s">
        <v>187</v>
      </c>
      <c r="I78" s="65">
        <v>24.069427000000001</v>
      </c>
      <c r="J78" s="65">
        <v>91.345119999999994</v>
      </c>
      <c r="K78" s="67">
        <v>6.83</v>
      </c>
      <c r="L78" s="65" t="s">
        <v>115</v>
      </c>
      <c r="M78" s="65">
        <v>48</v>
      </c>
      <c r="N78" s="65">
        <v>30</v>
      </c>
      <c r="O78" s="65">
        <f t="shared" si="2"/>
        <v>18</v>
      </c>
      <c r="P78" s="65"/>
    </row>
    <row r="79" spans="2:16" ht="23" x14ac:dyDescent="0.35">
      <c r="B79" s="65">
        <v>76</v>
      </c>
      <c r="C79" s="66" t="s">
        <v>111</v>
      </c>
      <c r="D79" s="65" t="s">
        <v>112</v>
      </c>
      <c r="E79" s="65" t="s">
        <v>187</v>
      </c>
      <c r="F79" s="65">
        <v>24.069427000000001</v>
      </c>
      <c r="G79" s="65">
        <v>91.345119999999994</v>
      </c>
      <c r="H79" s="65" t="s">
        <v>188</v>
      </c>
      <c r="I79" s="65">
        <v>24.181065</v>
      </c>
      <c r="J79" s="65">
        <v>91.356993000000003</v>
      </c>
      <c r="K79" s="67">
        <v>12.87</v>
      </c>
      <c r="L79" s="65" t="s">
        <v>115</v>
      </c>
      <c r="M79" s="65">
        <v>48</v>
      </c>
      <c r="N79" s="65">
        <v>30</v>
      </c>
      <c r="O79" s="65">
        <f t="shared" si="2"/>
        <v>18</v>
      </c>
      <c r="P79" s="65"/>
    </row>
    <row r="80" spans="2:16" ht="23" x14ac:dyDescent="0.35">
      <c r="B80" s="65">
        <v>77</v>
      </c>
      <c r="C80" s="66" t="s">
        <v>111</v>
      </c>
      <c r="D80" s="65" t="s">
        <v>112</v>
      </c>
      <c r="E80" s="65" t="s">
        <v>188</v>
      </c>
      <c r="F80" s="65">
        <v>24.181065</v>
      </c>
      <c r="G80" s="65">
        <v>91.356993000000003</v>
      </c>
      <c r="H80" s="65" t="s">
        <v>189</v>
      </c>
      <c r="I80" s="65">
        <v>24.253270000000001</v>
      </c>
      <c r="J80" s="65">
        <v>91.38212</v>
      </c>
      <c r="K80" s="67">
        <v>8.4499999999999993</v>
      </c>
      <c r="L80" s="65" t="s">
        <v>115</v>
      </c>
      <c r="M80" s="65">
        <v>48</v>
      </c>
      <c r="N80" s="65">
        <v>30</v>
      </c>
      <c r="O80" s="65">
        <f t="shared" si="2"/>
        <v>18</v>
      </c>
      <c r="P80" s="65"/>
    </row>
    <row r="81" spans="2:16" ht="23" x14ac:dyDescent="0.35">
      <c r="B81" s="65">
        <v>78</v>
      </c>
      <c r="C81" s="66" t="s">
        <v>111</v>
      </c>
      <c r="D81" s="65" t="s">
        <v>112</v>
      </c>
      <c r="E81" s="65" t="s">
        <v>189</v>
      </c>
      <c r="F81" s="65">
        <v>24.253270000000001</v>
      </c>
      <c r="G81" s="65">
        <v>91.38212</v>
      </c>
      <c r="H81" s="65" t="s">
        <v>190</v>
      </c>
      <c r="I81" s="65">
        <v>24.278457</v>
      </c>
      <c r="J81" s="65">
        <v>91.450175999999999</v>
      </c>
      <c r="K81" s="67">
        <v>9.25</v>
      </c>
      <c r="L81" s="65" t="s">
        <v>115</v>
      </c>
      <c r="M81" s="65">
        <v>48</v>
      </c>
      <c r="N81" s="65">
        <v>30</v>
      </c>
      <c r="O81" s="65">
        <f t="shared" si="2"/>
        <v>18</v>
      </c>
      <c r="P81" s="65"/>
    </row>
    <row r="82" spans="2:16" ht="23" x14ac:dyDescent="0.35">
      <c r="B82" s="65">
        <v>79</v>
      </c>
      <c r="C82" s="66" t="s">
        <v>111</v>
      </c>
      <c r="D82" s="65" t="s">
        <v>112</v>
      </c>
      <c r="E82" s="65" t="s">
        <v>190</v>
      </c>
      <c r="F82" s="65">
        <v>24.278457</v>
      </c>
      <c r="G82" s="65">
        <v>91.450175999999999</v>
      </c>
      <c r="H82" s="65" t="s">
        <v>191</v>
      </c>
      <c r="I82" s="65">
        <v>24.281233</v>
      </c>
      <c r="J82" s="65">
        <v>91.564441000000002</v>
      </c>
      <c r="K82" s="67">
        <v>11.73</v>
      </c>
      <c r="L82" s="65" t="s">
        <v>115</v>
      </c>
      <c r="M82" s="65">
        <v>48</v>
      </c>
      <c r="N82" s="65">
        <v>30</v>
      </c>
      <c r="O82" s="65">
        <f t="shared" si="2"/>
        <v>18</v>
      </c>
      <c r="P82" s="65"/>
    </row>
    <row r="83" spans="2:16" ht="23" x14ac:dyDescent="0.35">
      <c r="B83" s="65">
        <v>80</v>
      </c>
      <c r="C83" s="66" t="s">
        <v>111</v>
      </c>
      <c r="D83" s="65" t="s">
        <v>112</v>
      </c>
      <c r="E83" s="65" t="s">
        <v>191</v>
      </c>
      <c r="F83" s="65">
        <v>24.281233</v>
      </c>
      <c r="G83" s="65">
        <v>91.564441000000002</v>
      </c>
      <c r="H83" s="65" t="s">
        <v>192</v>
      </c>
      <c r="I83" s="65">
        <v>24.288723999999998</v>
      </c>
      <c r="J83" s="65">
        <v>91.665533999999994</v>
      </c>
      <c r="K83" s="67">
        <v>10.88</v>
      </c>
      <c r="L83" s="65" t="s">
        <v>115</v>
      </c>
      <c r="M83" s="65">
        <v>48</v>
      </c>
      <c r="N83" s="65">
        <v>30</v>
      </c>
      <c r="O83" s="65">
        <f t="shared" si="2"/>
        <v>18</v>
      </c>
      <c r="P83" s="65"/>
    </row>
    <row r="84" spans="2:16" ht="23" x14ac:dyDescent="0.35">
      <c r="B84" s="65">
        <v>81</v>
      </c>
      <c r="C84" s="66" t="s">
        <v>111</v>
      </c>
      <c r="D84" s="65" t="s">
        <v>112</v>
      </c>
      <c r="E84" s="65" t="s">
        <v>192</v>
      </c>
      <c r="F84" s="65">
        <v>24.288723999999998</v>
      </c>
      <c r="G84" s="65">
        <v>91.665533999999994</v>
      </c>
      <c r="H84" s="65" t="s">
        <v>193</v>
      </c>
      <c r="I84" s="65">
        <v>24.306483</v>
      </c>
      <c r="J84" s="65">
        <v>91.734691999999995</v>
      </c>
      <c r="K84" s="67">
        <v>7.64</v>
      </c>
      <c r="L84" s="65" t="s">
        <v>115</v>
      </c>
      <c r="M84" s="65">
        <v>48</v>
      </c>
      <c r="N84" s="65">
        <v>30</v>
      </c>
      <c r="O84" s="65">
        <f t="shared" si="2"/>
        <v>18</v>
      </c>
      <c r="P84" s="65"/>
    </row>
    <row r="85" spans="2:16" ht="23" x14ac:dyDescent="0.35">
      <c r="B85" s="65">
        <v>82</v>
      </c>
      <c r="C85" s="66" t="s">
        <v>111</v>
      </c>
      <c r="D85" s="65" t="s">
        <v>112</v>
      </c>
      <c r="E85" s="65" t="s">
        <v>193</v>
      </c>
      <c r="F85" s="65">
        <v>24.306483</v>
      </c>
      <c r="G85" s="65">
        <v>91.734691999999995</v>
      </c>
      <c r="H85" s="65" t="s">
        <v>194</v>
      </c>
      <c r="I85" s="65">
        <v>24.351586000000001</v>
      </c>
      <c r="J85" s="65">
        <v>91.841555</v>
      </c>
      <c r="K85" s="67">
        <v>12.09</v>
      </c>
      <c r="L85" s="65" t="s">
        <v>115</v>
      </c>
      <c r="M85" s="65">
        <v>48</v>
      </c>
      <c r="N85" s="65">
        <v>30</v>
      </c>
      <c r="O85" s="65">
        <f t="shared" si="2"/>
        <v>18</v>
      </c>
      <c r="P85" s="65"/>
    </row>
    <row r="86" spans="2:16" ht="23" x14ac:dyDescent="0.35">
      <c r="B86" s="65">
        <v>83</v>
      </c>
      <c r="C86" s="66" t="s">
        <v>111</v>
      </c>
      <c r="D86" s="65" t="s">
        <v>112</v>
      </c>
      <c r="E86" s="65" t="s">
        <v>194</v>
      </c>
      <c r="F86" s="65">
        <v>24.351586000000001</v>
      </c>
      <c r="G86" s="65">
        <v>91.841555</v>
      </c>
      <c r="H86" s="65" t="s">
        <v>195</v>
      </c>
      <c r="I86" s="65">
        <v>24.382867000000001</v>
      </c>
      <c r="J86" s="65">
        <v>91.904449999999997</v>
      </c>
      <c r="K86" s="67">
        <v>6.44</v>
      </c>
      <c r="L86" s="65" t="s">
        <v>115</v>
      </c>
      <c r="M86" s="65">
        <v>48</v>
      </c>
      <c r="N86" s="65">
        <v>30</v>
      </c>
      <c r="O86" s="65">
        <f t="shared" si="2"/>
        <v>18</v>
      </c>
      <c r="P86" s="65"/>
    </row>
    <row r="87" spans="2:16" ht="23" x14ac:dyDescent="0.35">
      <c r="B87" s="65">
        <v>84</v>
      </c>
      <c r="C87" s="66" t="s">
        <v>111</v>
      </c>
      <c r="D87" s="65" t="s">
        <v>112</v>
      </c>
      <c r="E87" s="65" t="s">
        <v>195</v>
      </c>
      <c r="F87" s="65">
        <v>24.382867000000001</v>
      </c>
      <c r="G87" s="65">
        <v>91.904449999999997</v>
      </c>
      <c r="H87" s="65" t="s">
        <v>196</v>
      </c>
      <c r="I87" s="65">
        <v>24.463090000000001</v>
      </c>
      <c r="J87" s="65">
        <v>91.988048000000006</v>
      </c>
      <c r="K87" s="67">
        <v>13.27</v>
      </c>
      <c r="L87" s="65" t="s">
        <v>115</v>
      </c>
      <c r="M87" s="65">
        <v>48</v>
      </c>
      <c r="N87" s="65">
        <v>30</v>
      </c>
      <c r="O87" s="65">
        <f t="shared" si="2"/>
        <v>18</v>
      </c>
      <c r="P87" s="65"/>
    </row>
    <row r="88" spans="2:16" ht="23" x14ac:dyDescent="0.35">
      <c r="B88" s="65">
        <v>85</v>
      </c>
      <c r="C88" s="66" t="s">
        <v>111</v>
      </c>
      <c r="D88" s="65" t="s">
        <v>112</v>
      </c>
      <c r="E88" s="65" t="s">
        <v>196</v>
      </c>
      <c r="F88" s="65">
        <v>24.463090000000001</v>
      </c>
      <c r="G88" s="65">
        <v>91.988048000000006</v>
      </c>
      <c r="H88" s="65" t="s">
        <v>197</v>
      </c>
      <c r="I88" s="65">
        <v>24.522704000000001</v>
      </c>
      <c r="J88" s="65">
        <v>92.036651000000006</v>
      </c>
      <c r="K88" s="67">
        <v>8.0500000000000007</v>
      </c>
      <c r="L88" s="65" t="s">
        <v>115</v>
      </c>
      <c r="M88" s="65">
        <v>48</v>
      </c>
      <c r="N88" s="65">
        <v>30</v>
      </c>
      <c r="O88" s="65">
        <f t="shared" si="2"/>
        <v>18</v>
      </c>
      <c r="P88" s="65"/>
    </row>
    <row r="89" spans="2:16" ht="23" x14ac:dyDescent="0.35">
      <c r="B89" s="65">
        <v>86</v>
      </c>
      <c r="C89" s="66" t="s">
        <v>111</v>
      </c>
      <c r="D89" s="65" t="s">
        <v>112</v>
      </c>
      <c r="E89" s="65" t="s">
        <v>197</v>
      </c>
      <c r="F89" s="65">
        <v>24.522704000000001</v>
      </c>
      <c r="G89" s="65">
        <v>92.036651000000006</v>
      </c>
      <c r="H89" s="65" t="s">
        <v>198</v>
      </c>
      <c r="I89" s="65">
        <v>24.588819999999998</v>
      </c>
      <c r="J89" s="65">
        <v>91.979292000000001</v>
      </c>
      <c r="K89" s="67">
        <v>10.46</v>
      </c>
      <c r="L89" s="65" t="s">
        <v>115</v>
      </c>
      <c r="M89" s="65">
        <v>48</v>
      </c>
      <c r="N89" s="65">
        <v>30</v>
      </c>
      <c r="O89" s="65">
        <f t="shared" si="2"/>
        <v>18</v>
      </c>
      <c r="P89" s="65"/>
    </row>
    <row r="90" spans="2:16" ht="23" x14ac:dyDescent="0.35">
      <c r="B90" s="65">
        <v>87</v>
      </c>
      <c r="C90" s="66" t="s">
        <v>111</v>
      </c>
      <c r="D90" s="65" t="s">
        <v>112</v>
      </c>
      <c r="E90" s="65" t="s">
        <v>198</v>
      </c>
      <c r="F90" s="65">
        <v>24.588819999999998</v>
      </c>
      <c r="G90" s="65">
        <v>91.979292000000001</v>
      </c>
      <c r="H90" s="65" t="s">
        <v>199</v>
      </c>
      <c r="I90" s="65">
        <v>24.686301</v>
      </c>
      <c r="J90" s="65">
        <v>91.951455999999993</v>
      </c>
      <c r="K90" s="67">
        <v>12.47</v>
      </c>
      <c r="L90" s="65" t="s">
        <v>115</v>
      </c>
      <c r="M90" s="65">
        <v>48</v>
      </c>
      <c r="N90" s="65">
        <v>30</v>
      </c>
      <c r="O90" s="65">
        <f t="shared" si="2"/>
        <v>18</v>
      </c>
      <c r="P90" s="65"/>
    </row>
    <row r="91" spans="2:16" ht="23" x14ac:dyDescent="0.35">
      <c r="B91" s="65">
        <v>88</v>
      </c>
      <c r="C91" s="66" t="s">
        <v>111</v>
      </c>
      <c r="D91" s="65" t="s">
        <v>112</v>
      </c>
      <c r="E91" s="65" t="s">
        <v>199</v>
      </c>
      <c r="F91" s="65">
        <v>24.686301</v>
      </c>
      <c r="G91" s="65">
        <v>91.951455999999993</v>
      </c>
      <c r="H91" s="65" t="s">
        <v>200</v>
      </c>
      <c r="I91" s="65">
        <v>24.796797999999999</v>
      </c>
      <c r="J91" s="65">
        <v>91.910815999999997</v>
      </c>
      <c r="K91" s="67">
        <v>13.75</v>
      </c>
      <c r="L91" s="65" t="s">
        <v>115</v>
      </c>
      <c r="M91" s="65">
        <v>48</v>
      </c>
      <c r="N91" s="65">
        <v>30</v>
      </c>
      <c r="O91" s="65">
        <f t="shared" si="2"/>
        <v>18</v>
      </c>
      <c r="P91" s="65"/>
    </row>
    <row r="92" spans="2:16" ht="23" x14ac:dyDescent="0.35">
      <c r="B92" s="65">
        <v>89</v>
      </c>
      <c r="C92" s="66" t="s">
        <v>111</v>
      </c>
      <c r="D92" s="65" t="s">
        <v>112</v>
      </c>
      <c r="E92" s="65" t="s">
        <v>200</v>
      </c>
      <c r="F92" s="65">
        <v>24.796797999999999</v>
      </c>
      <c r="G92" s="65">
        <v>91.910815999999997</v>
      </c>
      <c r="H92" s="65" t="s">
        <v>201</v>
      </c>
      <c r="I92" s="65">
        <v>24.881869999999999</v>
      </c>
      <c r="J92" s="65">
        <v>91.868532999999999</v>
      </c>
      <c r="K92" s="67">
        <v>11.64</v>
      </c>
      <c r="L92" s="65" t="s">
        <v>115</v>
      </c>
      <c r="M92" s="65">
        <v>48</v>
      </c>
      <c r="N92" s="65">
        <v>30</v>
      </c>
      <c r="O92" s="65">
        <f t="shared" si="2"/>
        <v>18</v>
      </c>
      <c r="P92" s="65"/>
    </row>
    <row r="93" spans="2:16" ht="23" x14ac:dyDescent="0.35">
      <c r="B93" s="65">
        <v>90</v>
      </c>
      <c r="C93" s="66" t="s">
        <v>111</v>
      </c>
      <c r="D93" s="65" t="s">
        <v>112</v>
      </c>
      <c r="E93" s="65" t="s">
        <v>201</v>
      </c>
      <c r="F93" s="65">
        <v>24.881869999999999</v>
      </c>
      <c r="G93" s="65">
        <v>91.868532999999999</v>
      </c>
      <c r="H93" s="65" t="s">
        <v>202</v>
      </c>
      <c r="I93" s="65">
        <v>25.028210999999999</v>
      </c>
      <c r="J93" s="65">
        <v>91.657562999999996</v>
      </c>
      <c r="K93" s="67">
        <v>32.99</v>
      </c>
      <c r="L93" s="65" t="s">
        <v>115</v>
      </c>
      <c r="M93" s="65">
        <v>32</v>
      </c>
      <c r="N93" s="65">
        <v>23</v>
      </c>
      <c r="O93" s="65">
        <f t="shared" si="2"/>
        <v>9</v>
      </c>
      <c r="P93" s="65"/>
    </row>
    <row r="94" spans="2:16" ht="23" x14ac:dyDescent="0.35">
      <c r="B94" s="65">
        <v>91</v>
      </c>
      <c r="C94" s="66" t="s">
        <v>111</v>
      </c>
      <c r="D94" s="65" t="s">
        <v>112</v>
      </c>
      <c r="E94" s="65" t="s">
        <v>117</v>
      </c>
      <c r="F94" s="65">
        <v>23.70139</v>
      </c>
      <c r="G94" s="65">
        <v>90.428420000000003</v>
      </c>
      <c r="H94" s="65" t="s">
        <v>203</v>
      </c>
      <c r="I94" s="65">
        <v>23.649069999999998</v>
      </c>
      <c r="J94" s="65">
        <v>90.415580000000006</v>
      </c>
      <c r="K94" s="65">
        <v>16.43</v>
      </c>
      <c r="L94" s="65" t="s">
        <v>115</v>
      </c>
      <c r="M94" s="65">
        <v>96</v>
      </c>
      <c r="N94" s="65">
        <v>16</v>
      </c>
      <c r="O94" s="65">
        <f t="shared" si="2"/>
        <v>80</v>
      </c>
      <c r="P94" s="65"/>
    </row>
    <row r="95" spans="2:16" ht="23" x14ac:dyDescent="0.35">
      <c r="B95" s="65">
        <v>92</v>
      </c>
      <c r="C95" s="66" t="s">
        <v>111</v>
      </c>
      <c r="D95" s="65" t="s">
        <v>112</v>
      </c>
      <c r="E95" s="65" t="s">
        <v>203</v>
      </c>
      <c r="F95" s="65">
        <v>23.649069999999998</v>
      </c>
      <c r="G95" s="65">
        <v>90.415580000000006</v>
      </c>
      <c r="H95" s="65" t="s">
        <v>204</v>
      </c>
      <c r="I95" s="65">
        <v>23.588940000000001</v>
      </c>
      <c r="J95" s="65">
        <v>90.383039999999994</v>
      </c>
      <c r="K95" s="65">
        <v>10.66</v>
      </c>
      <c r="L95" s="65" t="s">
        <v>115</v>
      </c>
      <c r="M95" s="65">
        <v>96</v>
      </c>
      <c r="N95" s="65">
        <v>16</v>
      </c>
      <c r="O95" s="65">
        <f t="shared" si="2"/>
        <v>80</v>
      </c>
      <c r="P95" s="65"/>
    </row>
    <row r="96" spans="2:16" ht="23" x14ac:dyDescent="0.35">
      <c r="B96" s="65">
        <v>93</v>
      </c>
      <c r="C96" s="66" t="s">
        <v>111</v>
      </c>
      <c r="D96" s="65" t="s">
        <v>112</v>
      </c>
      <c r="E96" s="65" t="s">
        <v>204</v>
      </c>
      <c r="F96" s="65">
        <v>23.588940000000001</v>
      </c>
      <c r="G96" s="65">
        <v>90.383039999999994</v>
      </c>
      <c r="H96" s="65" t="s">
        <v>205</v>
      </c>
      <c r="I96" s="65">
        <v>23.537710000000001</v>
      </c>
      <c r="J96" s="65">
        <v>90.291370000000001</v>
      </c>
      <c r="K96" s="65">
        <v>9.16</v>
      </c>
      <c r="L96" s="65" t="s">
        <v>115</v>
      </c>
      <c r="M96" s="65">
        <v>96</v>
      </c>
      <c r="N96" s="65">
        <v>16</v>
      </c>
      <c r="O96" s="65">
        <f t="shared" si="2"/>
        <v>80</v>
      </c>
      <c r="P96" s="65"/>
    </row>
    <row r="97" spans="2:16" ht="23" x14ac:dyDescent="0.35">
      <c r="B97" s="65">
        <v>94</v>
      </c>
      <c r="C97" s="66" t="s">
        <v>111</v>
      </c>
      <c r="D97" s="65" t="s">
        <v>112</v>
      </c>
      <c r="E97" s="65" t="s">
        <v>205</v>
      </c>
      <c r="F97" s="65">
        <v>23.537710000000001</v>
      </c>
      <c r="G97" s="65">
        <v>90.291370000000001</v>
      </c>
      <c r="H97" s="65" t="s">
        <v>206</v>
      </c>
      <c r="I97" s="65">
        <v>23.50394</v>
      </c>
      <c r="J97" s="65">
        <v>90.274550000000005</v>
      </c>
      <c r="K97" s="65">
        <v>4.21</v>
      </c>
      <c r="L97" s="65" t="s">
        <v>115</v>
      </c>
      <c r="M97" s="65">
        <v>96</v>
      </c>
      <c r="N97" s="65">
        <v>16</v>
      </c>
      <c r="O97" s="65">
        <f t="shared" si="2"/>
        <v>80</v>
      </c>
      <c r="P97" s="65"/>
    </row>
    <row r="98" spans="2:16" ht="23" x14ac:dyDescent="0.35">
      <c r="B98" s="65">
        <v>95</v>
      </c>
      <c r="C98" s="66" t="s">
        <v>111</v>
      </c>
      <c r="D98" s="65" t="s">
        <v>112</v>
      </c>
      <c r="E98" s="65" t="s">
        <v>206</v>
      </c>
      <c r="F98" s="65">
        <v>23.50394</v>
      </c>
      <c r="G98" s="65">
        <v>90.274550000000005</v>
      </c>
      <c r="H98" s="65" t="s">
        <v>207</v>
      </c>
      <c r="I98" s="65">
        <v>23.40016</v>
      </c>
      <c r="J98" s="65">
        <v>90.209490000000002</v>
      </c>
      <c r="K98" s="65">
        <v>15.06</v>
      </c>
      <c r="L98" s="65" t="s">
        <v>115</v>
      </c>
      <c r="M98" s="65">
        <v>96</v>
      </c>
      <c r="N98" s="65">
        <v>16</v>
      </c>
      <c r="O98" s="65">
        <f t="shared" si="2"/>
        <v>80</v>
      </c>
      <c r="P98" s="65"/>
    </row>
    <row r="99" spans="2:16" ht="23" x14ac:dyDescent="0.35">
      <c r="B99" s="65">
        <v>96</v>
      </c>
      <c r="C99" s="66" t="s">
        <v>111</v>
      </c>
      <c r="D99" s="65" t="s">
        <v>112</v>
      </c>
      <c r="E99" s="65" t="s">
        <v>207</v>
      </c>
      <c r="F99" s="65">
        <v>23.40016</v>
      </c>
      <c r="G99" s="65">
        <v>90.209490000000002</v>
      </c>
      <c r="H99" s="65" t="s">
        <v>208</v>
      </c>
      <c r="I99" s="65">
        <v>23.385819999999999</v>
      </c>
      <c r="J99" s="65">
        <v>90.129390000000001</v>
      </c>
      <c r="K99" s="65">
        <v>9.99</v>
      </c>
      <c r="L99" s="65" t="s">
        <v>115</v>
      </c>
      <c r="M99" s="65">
        <v>96</v>
      </c>
      <c r="N99" s="65">
        <v>16</v>
      </c>
      <c r="O99" s="65">
        <f t="shared" si="2"/>
        <v>80</v>
      </c>
      <c r="P99" s="65"/>
    </row>
    <row r="106" spans="2:16" ht="23" x14ac:dyDescent="0.35">
      <c r="B106" s="94" t="s">
        <v>209</v>
      </c>
      <c r="C106" s="94" t="s">
        <v>210</v>
      </c>
      <c r="D106" s="72" t="s">
        <v>211</v>
      </c>
      <c r="E106" s="72" t="s">
        <v>212</v>
      </c>
      <c r="F106" s="72" t="s">
        <v>213</v>
      </c>
      <c r="G106" s="72" t="s">
        <v>212</v>
      </c>
      <c r="H106" s="72" t="s">
        <v>213</v>
      </c>
      <c r="I106" s="94" t="s">
        <v>214</v>
      </c>
      <c r="J106" s="94" t="s">
        <v>215</v>
      </c>
      <c r="K106" s="94" t="s">
        <v>216</v>
      </c>
      <c r="L106" s="72" t="s">
        <v>217</v>
      </c>
      <c r="M106" s="72" t="s">
        <v>218</v>
      </c>
    </row>
    <row r="107" spans="2:16" x14ac:dyDescent="0.35">
      <c r="B107" s="94"/>
      <c r="C107" s="94"/>
      <c r="D107" s="72"/>
      <c r="E107" s="72" t="s">
        <v>219</v>
      </c>
      <c r="F107" s="72" t="s">
        <v>6</v>
      </c>
      <c r="G107" s="72" t="s">
        <v>220</v>
      </c>
      <c r="H107" s="72" t="s">
        <v>6</v>
      </c>
      <c r="I107" s="94"/>
      <c r="J107" s="94"/>
      <c r="K107" s="94"/>
      <c r="L107" s="72" t="s">
        <v>221</v>
      </c>
      <c r="M107" s="72" t="s">
        <v>221</v>
      </c>
    </row>
    <row r="108" spans="2:16" ht="23" x14ac:dyDescent="0.35">
      <c r="B108" s="91">
        <v>1</v>
      </c>
      <c r="C108" s="64" t="s">
        <v>222</v>
      </c>
      <c r="D108" s="64" t="s">
        <v>112</v>
      </c>
      <c r="E108" s="64" t="s">
        <v>223</v>
      </c>
      <c r="F108" s="64" t="s">
        <v>224</v>
      </c>
      <c r="G108" s="64" t="s">
        <v>225</v>
      </c>
      <c r="H108" s="64" t="s">
        <v>226</v>
      </c>
      <c r="I108" s="91">
        <v>1.6</v>
      </c>
      <c r="J108" s="91" t="s">
        <v>115</v>
      </c>
      <c r="K108" s="91" t="s">
        <v>227</v>
      </c>
      <c r="L108" s="91">
        <v>41</v>
      </c>
      <c r="M108" s="91">
        <v>31</v>
      </c>
    </row>
    <row r="109" spans="2:16" x14ac:dyDescent="0.35">
      <c r="B109" s="91"/>
      <c r="C109" s="64" t="s">
        <v>228</v>
      </c>
      <c r="D109" s="64"/>
      <c r="E109" s="64"/>
      <c r="F109" s="64">
        <v>91.825999999999993</v>
      </c>
      <c r="G109" s="64"/>
      <c r="H109" s="64">
        <v>91.811000000000007</v>
      </c>
      <c r="I109" s="91"/>
      <c r="J109" s="91"/>
      <c r="K109" s="91"/>
      <c r="L109" s="91"/>
      <c r="M109" s="91"/>
    </row>
    <row r="110" spans="2:16" x14ac:dyDescent="0.35">
      <c r="B110" s="91"/>
      <c r="C110" s="64" t="s">
        <v>229</v>
      </c>
      <c r="D110" s="64"/>
      <c r="E110" s="64"/>
      <c r="F110" s="77"/>
      <c r="G110" s="64"/>
      <c r="H110" s="77"/>
      <c r="I110" s="91"/>
      <c r="J110" s="91"/>
      <c r="K110" s="91"/>
      <c r="L110" s="91"/>
      <c r="M110" s="91"/>
    </row>
    <row r="111" spans="2:16" ht="23" x14ac:dyDescent="0.35">
      <c r="B111" s="91">
        <v>2</v>
      </c>
      <c r="C111" s="64" t="s">
        <v>222</v>
      </c>
      <c r="D111" s="64" t="s">
        <v>112</v>
      </c>
      <c r="E111" s="64" t="s">
        <v>225</v>
      </c>
      <c r="F111" s="64" t="s">
        <v>226</v>
      </c>
      <c r="G111" s="64" t="s">
        <v>230</v>
      </c>
      <c r="H111" s="64" t="s">
        <v>231</v>
      </c>
      <c r="I111" s="91">
        <v>2.41</v>
      </c>
      <c r="J111" s="91" t="s">
        <v>115</v>
      </c>
      <c r="K111" s="91" t="s">
        <v>227</v>
      </c>
      <c r="L111" s="91">
        <v>41</v>
      </c>
      <c r="M111" s="91">
        <v>31</v>
      </c>
    </row>
    <row r="112" spans="2:16" x14ac:dyDescent="0.35">
      <c r="B112" s="91"/>
      <c r="C112" s="64" t="s">
        <v>228</v>
      </c>
      <c r="D112" s="64"/>
      <c r="E112" s="64"/>
      <c r="F112" s="64">
        <v>91.811000000000007</v>
      </c>
      <c r="G112" s="64"/>
      <c r="H112" s="64">
        <v>91.795000000000002</v>
      </c>
      <c r="I112" s="91"/>
      <c r="J112" s="91"/>
      <c r="K112" s="91"/>
      <c r="L112" s="91"/>
      <c r="M112" s="91"/>
    </row>
    <row r="113" spans="2:13" x14ac:dyDescent="0.35">
      <c r="B113" s="91"/>
      <c r="C113" s="64" t="s">
        <v>229</v>
      </c>
      <c r="D113" s="64"/>
      <c r="E113" s="64"/>
      <c r="F113" s="77"/>
      <c r="G113" s="64"/>
      <c r="H113" s="77"/>
      <c r="I113" s="91"/>
      <c r="J113" s="91"/>
      <c r="K113" s="91"/>
      <c r="L113" s="91"/>
      <c r="M113" s="91"/>
    </row>
    <row r="114" spans="2:13" x14ac:dyDescent="0.35">
      <c r="B114" s="91">
        <v>3</v>
      </c>
      <c r="C114" s="64" t="s">
        <v>222</v>
      </c>
      <c r="D114" s="64" t="s">
        <v>112</v>
      </c>
      <c r="E114" s="64" t="s">
        <v>230</v>
      </c>
      <c r="F114" s="64" t="s">
        <v>231</v>
      </c>
      <c r="G114" s="64" t="s">
        <v>232</v>
      </c>
      <c r="H114" s="64" t="s">
        <v>233</v>
      </c>
      <c r="I114" s="91">
        <v>7.26</v>
      </c>
      <c r="J114" s="91" t="s">
        <v>115</v>
      </c>
      <c r="K114" s="91" t="s">
        <v>227</v>
      </c>
      <c r="L114" s="91">
        <v>41</v>
      </c>
      <c r="M114" s="91">
        <v>31</v>
      </c>
    </row>
    <row r="115" spans="2:13" x14ac:dyDescent="0.35">
      <c r="B115" s="91"/>
      <c r="C115" s="64" t="s">
        <v>228</v>
      </c>
      <c r="D115" s="64"/>
      <c r="E115" s="64"/>
      <c r="F115" s="64">
        <v>91.795000000000002</v>
      </c>
      <c r="G115" s="64"/>
      <c r="H115" s="64">
        <v>91.754999999999995</v>
      </c>
      <c r="I115" s="91"/>
      <c r="J115" s="91"/>
      <c r="K115" s="91"/>
      <c r="L115" s="91"/>
      <c r="M115" s="91"/>
    </row>
    <row r="116" spans="2:13" x14ac:dyDescent="0.35">
      <c r="B116" s="91"/>
      <c r="C116" s="64" t="s">
        <v>229</v>
      </c>
      <c r="D116" s="64"/>
      <c r="E116" s="64"/>
      <c r="F116" s="77"/>
      <c r="G116" s="64"/>
      <c r="H116" s="77"/>
      <c r="I116" s="91"/>
      <c r="J116" s="91"/>
      <c r="K116" s="91"/>
      <c r="L116" s="91"/>
      <c r="M116" s="91"/>
    </row>
    <row r="117" spans="2:13" x14ac:dyDescent="0.35">
      <c r="B117" s="91">
        <v>4</v>
      </c>
      <c r="C117" s="64" t="s">
        <v>222</v>
      </c>
      <c r="D117" s="64" t="s">
        <v>112</v>
      </c>
      <c r="E117" s="64" t="s">
        <v>232</v>
      </c>
      <c r="F117" s="64" t="s">
        <v>233</v>
      </c>
      <c r="G117" s="64" t="s">
        <v>234</v>
      </c>
      <c r="H117" s="64" t="s">
        <v>235</v>
      </c>
      <c r="I117" s="91">
        <v>2.41</v>
      </c>
      <c r="J117" s="91" t="s">
        <v>115</v>
      </c>
      <c r="K117" s="91" t="s">
        <v>227</v>
      </c>
      <c r="L117" s="91">
        <v>41</v>
      </c>
      <c r="M117" s="91">
        <v>31</v>
      </c>
    </row>
    <row r="118" spans="2:13" x14ac:dyDescent="0.35">
      <c r="B118" s="91"/>
      <c r="C118" s="64" t="s">
        <v>228</v>
      </c>
      <c r="D118" s="64"/>
      <c r="E118" s="64"/>
      <c r="F118" s="64">
        <v>91.754999999999995</v>
      </c>
      <c r="G118" s="64"/>
      <c r="H118" s="64">
        <v>91.748000000000005</v>
      </c>
      <c r="I118" s="91"/>
      <c r="J118" s="91"/>
      <c r="K118" s="91"/>
      <c r="L118" s="91"/>
      <c r="M118" s="91"/>
    </row>
    <row r="119" spans="2:13" x14ac:dyDescent="0.35">
      <c r="B119" s="91"/>
      <c r="C119" s="64" t="s">
        <v>229</v>
      </c>
      <c r="D119" s="64"/>
      <c r="E119" s="64"/>
      <c r="F119" s="77"/>
      <c r="G119" s="64"/>
      <c r="H119" s="77"/>
      <c r="I119" s="91"/>
      <c r="J119" s="91"/>
      <c r="K119" s="91"/>
      <c r="L119" s="91"/>
      <c r="M119" s="91"/>
    </row>
    <row r="120" spans="2:13" x14ac:dyDescent="0.35">
      <c r="B120" s="91">
        <v>5</v>
      </c>
      <c r="C120" s="64" t="s">
        <v>222</v>
      </c>
      <c r="D120" s="64" t="s">
        <v>112</v>
      </c>
      <c r="E120" s="64" t="s">
        <v>234</v>
      </c>
      <c r="F120" s="64" t="s">
        <v>235</v>
      </c>
      <c r="G120" s="64" t="s">
        <v>236</v>
      </c>
      <c r="H120" s="64" t="s">
        <v>237</v>
      </c>
      <c r="I120" s="91">
        <v>9.26</v>
      </c>
      <c r="J120" s="91" t="s">
        <v>115</v>
      </c>
      <c r="K120" s="91" t="s">
        <v>227</v>
      </c>
      <c r="L120" s="91">
        <v>41</v>
      </c>
      <c r="M120" s="91">
        <v>31</v>
      </c>
    </row>
    <row r="121" spans="2:13" x14ac:dyDescent="0.35">
      <c r="B121" s="91"/>
      <c r="C121" s="64" t="s">
        <v>228</v>
      </c>
      <c r="D121" s="64"/>
      <c r="E121" s="64"/>
      <c r="F121" s="64">
        <v>91.748000000000005</v>
      </c>
      <c r="G121" s="64"/>
      <c r="H121" s="64">
        <v>91.715000000000003</v>
      </c>
      <c r="I121" s="91"/>
      <c r="J121" s="91"/>
      <c r="K121" s="91"/>
      <c r="L121" s="91"/>
      <c r="M121" s="91"/>
    </row>
    <row r="122" spans="2:13" x14ac:dyDescent="0.35">
      <c r="B122" s="91"/>
      <c r="C122" s="64" t="s">
        <v>229</v>
      </c>
      <c r="D122" s="64"/>
      <c r="E122" s="64"/>
      <c r="F122" s="77"/>
      <c r="G122" s="64"/>
      <c r="H122" s="77"/>
      <c r="I122" s="91"/>
      <c r="J122" s="91"/>
      <c r="K122" s="91"/>
      <c r="L122" s="91"/>
      <c r="M122" s="91"/>
    </row>
    <row r="123" spans="2:13" x14ac:dyDescent="0.35">
      <c r="B123" s="91">
        <v>6</v>
      </c>
      <c r="C123" s="64" t="s">
        <v>222</v>
      </c>
      <c r="D123" s="64" t="s">
        <v>112</v>
      </c>
      <c r="E123" s="64" t="s">
        <v>236</v>
      </c>
      <c r="F123" s="64" t="s">
        <v>237</v>
      </c>
      <c r="G123" s="64" t="s">
        <v>238</v>
      </c>
      <c r="H123" s="64" t="s">
        <v>239</v>
      </c>
      <c r="I123" s="91">
        <v>8.85</v>
      </c>
      <c r="J123" s="91" t="s">
        <v>115</v>
      </c>
      <c r="K123" s="91" t="s">
        <v>227</v>
      </c>
      <c r="L123" s="91">
        <v>41</v>
      </c>
      <c r="M123" s="91">
        <v>31</v>
      </c>
    </row>
    <row r="124" spans="2:13" x14ac:dyDescent="0.35">
      <c r="B124" s="91"/>
      <c r="C124" s="64" t="s">
        <v>228</v>
      </c>
      <c r="D124" s="64"/>
      <c r="E124" s="64"/>
      <c r="F124" s="64">
        <v>91.715000000000003</v>
      </c>
      <c r="G124" s="64"/>
      <c r="H124" s="64">
        <v>91.680999999999997</v>
      </c>
      <c r="I124" s="91"/>
      <c r="J124" s="91"/>
      <c r="K124" s="91"/>
      <c r="L124" s="91"/>
      <c r="M124" s="91"/>
    </row>
    <row r="125" spans="2:13" x14ac:dyDescent="0.35">
      <c r="B125" s="91"/>
      <c r="C125" s="64" t="s">
        <v>229</v>
      </c>
      <c r="D125" s="64"/>
      <c r="E125" s="64"/>
      <c r="F125" s="77"/>
      <c r="G125" s="64"/>
      <c r="H125" s="77"/>
      <c r="I125" s="91"/>
      <c r="J125" s="91"/>
      <c r="K125" s="91"/>
      <c r="L125" s="91"/>
      <c r="M125" s="91"/>
    </row>
    <row r="126" spans="2:13" x14ac:dyDescent="0.35">
      <c r="B126" s="91">
        <v>7</v>
      </c>
      <c r="C126" s="64" t="s">
        <v>222</v>
      </c>
      <c r="D126" s="64" t="s">
        <v>112</v>
      </c>
      <c r="E126" s="64" t="s">
        <v>238</v>
      </c>
      <c r="F126" s="64" t="s">
        <v>239</v>
      </c>
      <c r="G126" s="64" t="s">
        <v>240</v>
      </c>
      <c r="H126" s="64" t="s">
        <v>241</v>
      </c>
      <c r="I126" s="91">
        <v>5.24</v>
      </c>
      <c r="J126" s="91" t="s">
        <v>115</v>
      </c>
      <c r="K126" s="91" t="s">
        <v>227</v>
      </c>
      <c r="L126" s="91">
        <v>41</v>
      </c>
      <c r="M126" s="91">
        <v>31</v>
      </c>
    </row>
    <row r="127" spans="2:13" x14ac:dyDescent="0.35">
      <c r="B127" s="91"/>
      <c r="C127" s="64" t="s">
        <v>228</v>
      </c>
      <c r="D127" s="64"/>
      <c r="E127" s="64"/>
      <c r="F127" s="64">
        <v>91.680999999999997</v>
      </c>
      <c r="G127" s="64"/>
      <c r="H127" s="64">
        <v>91.66</v>
      </c>
      <c r="I127" s="91"/>
      <c r="J127" s="91"/>
      <c r="K127" s="91"/>
      <c r="L127" s="91"/>
      <c r="M127" s="91"/>
    </row>
    <row r="128" spans="2:13" x14ac:dyDescent="0.35">
      <c r="B128" s="91"/>
      <c r="C128" s="64" t="s">
        <v>229</v>
      </c>
      <c r="D128" s="64"/>
      <c r="E128" s="64"/>
      <c r="F128" s="77"/>
      <c r="G128" s="64"/>
      <c r="H128" s="77"/>
      <c r="I128" s="91"/>
      <c r="J128" s="91"/>
      <c r="K128" s="91"/>
      <c r="L128" s="91"/>
      <c r="M128" s="91"/>
    </row>
    <row r="129" spans="2:13" x14ac:dyDescent="0.35">
      <c r="B129" s="91">
        <v>8</v>
      </c>
      <c r="C129" s="64" t="s">
        <v>222</v>
      </c>
      <c r="D129" s="64" t="s">
        <v>112</v>
      </c>
      <c r="E129" s="64" t="s">
        <v>240</v>
      </c>
      <c r="F129" s="64" t="s">
        <v>241</v>
      </c>
      <c r="G129" s="64" t="s">
        <v>242</v>
      </c>
      <c r="H129" s="64" t="s">
        <v>243</v>
      </c>
      <c r="I129" s="91">
        <v>6.44</v>
      </c>
      <c r="J129" s="91" t="s">
        <v>115</v>
      </c>
      <c r="K129" s="91" t="s">
        <v>227</v>
      </c>
      <c r="L129" s="91">
        <v>41</v>
      </c>
      <c r="M129" s="91">
        <v>31</v>
      </c>
    </row>
    <row r="130" spans="2:13" x14ac:dyDescent="0.35">
      <c r="B130" s="91"/>
      <c r="C130" s="64" t="s">
        <v>228</v>
      </c>
      <c r="D130" s="64"/>
      <c r="E130" s="64"/>
      <c r="F130" s="64">
        <v>91.66</v>
      </c>
      <c r="G130" s="64"/>
      <c r="H130" s="64">
        <v>91.634</v>
      </c>
      <c r="I130" s="91"/>
      <c r="J130" s="91"/>
      <c r="K130" s="91"/>
      <c r="L130" s="91"/>
      <c r="M130" s="91"/>
    </row>
    <row r="131" spans="2:13" x14ac:dyDescent="0.35">
      <c r="B131" s="91"/>
      <c r="C131" s="64" t="s">
        <v>229</v>
      </c>
      <c r="D131" s="64"/>
      <c r="E131" s="64"/>
      <c r="F131" s="77"/>
      <c r="G131" s="64"/>
      <c r="H131" s="77"/>
      <c r="I131" s="91"/>
      <c r="J131" s="91"/>
      <c r="K131" s="91"/>
      <c r="L131" s="91"/>
      <c r="M131" s="91"/>
    </row>
    <row r="132" spans="2:13" x14ac:dyDescent="0.35">
      <c r="B132" s="91">
        <v>9</v>
      </c>
      <c r="C132" s="64" t="s">
        <v>222</v>
      </c>
      <c r="D132" s="64" t="s">
        <v>112</v>
      </c>
      <c r="E132" s="64" t="s">
        <v>242</v>
      </c>
      <c r="F132" s="64" t="s">
        <v>243</v>
      </c>
      <c r="G132" s="64" t="s">
        <v>244</v>
      </c>
      <c r="H132" s="64" t="s">
        <v>245</v>
      </c>
      <c r="I132" s="91">
        <v>9.25</v>
      </c>
      <c r="J132" s="91" t="s">
        <v>115</v>
      </c>
      <c r="K132" s="91" t="s">
        <v>227</v>
      </c>
      <c r="L132" s="91">
        <v>41</v>
      </c>
      <c r="M132" s="91">
        <v>31</v>
      </c>
    </row>
    <row r="133" spans="2:13" x14ac:dyDescent="0.35">
      <c r="B133" s="91"/>
      <c r="C133" s="64" t="s">
        <v>228</v>
      </c>
      <c r="D133" s="64"/>
      <c r="E133" s="64"/>
      <c r="F133" s="64">
        <v>91.634</v>
      </c>
      <c r="G133" s="64"/>
      <c r="H133" s="64">
        <v>91.599000000000004</v>
      </c>
      <c r="I133" s="91"/>
      <c r="J133" s="91"/>
      <c r="K133" s="91"/>
      <c r="L133" s="91"/>
      <c r="M133" s="91"/>
    </row>
    <row r="134" spans="2:13" x14ac:dyDescent="0.35">
      <c r="B134" s="91"/>
      <c r="C134" s="64" t="s">
        <v>229</v>
      </c>
      <c r="D134" s="64"/>
      <c r="E134" s="64"/>
      <c r="F134" s="77"/>
      <c r="G134" s="64"/>
      <c r="H134" s="77"/>
      <c r="I134" s="91"/>
      <c r="J134" s="91"/>
      <c r="K134" s="91"/>
      <c r="L134" s="91"/>
      <c r="M134" s="91"/>
    </row>
    <row r="135" spans="2:13" x14ac:dyDescent="0.35">
      <c r="B135" s="91">
        <v>10</v>
      </c>
      <c r="C135" s="64" t="s">
        <v>222</v>
      </c>
      <c r="D135" s="64" t="s">
        <v>112</v>
      </c>
      <c r="E135" s="64" t="s">
        <v>244</v>
      </c>
      <c r="F135" s="64" t="s">
        <v>245</v>
      </c>
      <c r="G135" s="64" t="s">
        <v>246</v>
      </c>
      <c r="H135" s="64" t="s">
        <v>247</v>
      </c>
      <c r="I135" s="91">
        <v>5.24</v>
      </c>
      <c r="J135" s="92" t="s">
        <v>115</v>
      </c>
      <c r="K135" s="91" t="s">
        <v>227</v>
      </c>
      <c r="L135" s="91">
        <v>41</v>
      </c>
      <c r="M135" s="91">
        <v>31</v>
      </c>
    </row>
    <row r="136" spans="2:13" x14ac:dyDescent="0.35">
      <c r="B136" s="91"/>
      <c r="C136" s="64" t="s">
        <v>228</v>
      </c>
      <c r="D136" s="64"/>
      <c r="E136" s="77"/>
      <c r="F136" s="77">
        <v>91.599000000000004</v>
      </c>
      <c r="G136" s="64"/>
      <c r="H136" s="64">
        <v>91.576999999999998</v>
      </c>
      <c r="I136" s="91"/>
      <c r="J136" s="92"/>
      <c r="K136" s="91"/>
      <c r="L136" s="91"/>
      <c r="M136" s="91"/>
    </row>
    <row r="137" spans="2:13" x14ac:dyDescent="0.35">
      <c r="B137" s="91"/>
      <c r="C137" s="64" t="s">
        <v>229</v>
      </c>
      <c r="D137" s="64"/>
      <c r="E137" s="77"/>
      <c r="F137" s="77"/>
      <c r="G137" s="64"/>
      <c r="H137" s="77"/>
      <c r="I137" s="91"/>
      <c r="J137" s="92"/>
      <c r="K137" s="91"/>
      <c r="L137" s="91"/>
      <c r="M137" s="91"/>
    </row>
    <row r="138" spans="2:13" x14ac:dyDescent="0.35">
      <c r="B138" s="91">
        <v>11</v>
      </c>
      <c r="C138" s="64" t="s">
        <v>222</v>
      </c>
      <c r="D138" s="64" t="s">
        <v>112</v>
      </c>
      <c r="E138" s="64" t="s">
        <v>246</v>
      </c>
      <c r="F138" s="64" t="s">
        <v>247</v>
      </c>
      <c r="G138" s="64" t="s">
        <v>248</v>
      </c>
      <c r="H138" s="64" t="s">
        <v>249</v>
      </c>
      <c r="I138" s="91">
        <v>5.63</v>
      </c>
      <c r="J138" s="92" t="s">
        <v>115</v>
      </c>
      <c r="K138" s="91" t="s">
        <v>227</v>
      </c>
      <c r="L138" s="91">
        <v>41</v>
      </c>
      <c r="M138" s="91">
        <v>31</v>
      </c>
    </row>
    <row r="139" spans="2:13" x14ac:dyDescent="0.35">
      <c r="B139" s="91"/>
      <c r="C139" s="64" t="s">
        <v>228</v>
      </c>
      <c r="D139" s="64"/>
      <c r="E139" s="77"/>
      <c r="F139" s="77">
        <v>91.576999999999998</v>
      </c>
      <c r="G139" s="64"/>
      <c r="H139" s="64">
        <v>91.558000000000007</v>
      </c>
      <c r="I139" s="91"/>
      <c r="J139" s="92"/>
      <c r="K139" s="91"/>
      <c r="L139" s="91"/>
      <c r="M139" s="91"/>
    </row>
    <row r="140" spans="2:13" x14ac:dyDescent="0.35">
      <c r="B140" s="91"/>
      <c r="C140" s="64" t="s">
        <v>229</v>
      </c>
      <c r="D140" s="64"/>
      <c r="E140" s="77"/>
      <c r="F140" s="77"/>
      <c r="G140" s="64"/>
      <c r="H140" s="77"/>
      <c r="I140" s="91"/>
      <c r="J140" s="92"/>
      <c r="K140" s="91"/>
      <c r="L140" s="91"/>
      <c r="M140" s="91"/>
    </row>
    <row r="141" spans="2:13" x14ac:dyDescent="0.35">
      <c r="B141" s="91">
        <v>12</v>
      </c>
      <c r="C141" s="64" t="s">
        <v>222</v>
      </c>
      <c r="D141" s="64" t="s">
        <v>112</v>
      </c>
      <c r="E141" s="64" t="s">
        <v>248</v>
      </c>
      <c r="F141" s="64" t="s">
        <v>249</v>
      </c>
      <c r="G141" s="64" t="s">
        <v>250</v>
      </c>
      <c r="H141" s="64" t="s">
        <v>251</v>
      </c>
      <c r="I141" s="91">
        <v>5.23</v>
      </c>
      <c r="J141" s="91" t="s">
        <v>115</v>
      </c>
      <c r="K141" s="91" t="s">
        <v>227</v>
      </c>
      <c r="L141" s="91">
        <v>41</v>
      </c>
      <c r="M141" s="91">
        <v>31</v>
      </c>
    </row>
    <row r="142" spans="2:13" x14ac:dyDescent="0.35">
      <c r="B142" s="91"/>
      <c r="C142" s="64" t="s">
        <v>228</v>
      </c>
      <c r="D142" s="64"/>
      <c r="E142" s="64"/>
      <c r="F142" s="64">
        <v>91.558000000000007</v>
      </c>
      <c r="G142" s="64"/>
      <c r="H142" s="64">
        <v>91.537999999999997</v>
      </c>
      <c r="I142" s="91"/>
      <c r="J142" s="91"/>
      <c r="K142" s="91"/>
      <c r="L142" s="91"/>
      <c r="M142" s="91"/>
    </row>
    <row r="143" spans="2:13" x14ac:dyDescent="0.35">
      <c r="B143" s="91"/>
      <c r="C143" s="64" t="s">
        <v>229</v>
      </c>
      <c r="D143" s="64"/>
      <c r="E143" s="64"/>
      <c r="F143" s="77"/>
      <c r="G143" s="64"/>
      <c r="H143" s="77"/>
      <c r="I143" s="91"/>
      <c r="J143" s="91"/>
      <c r="K143" s="91"/>
      <c r="L143" s="91"/>
      <c r="M143" s="91"/>
    </row>
    <row r="144" spans="2:13" x14ac:dyDescent="0.35">
      <c r="B144" s="91">
        <v>13</v>
      </c>
      <c r="C144" s="64" t="s">
        <v>222</v>
      </c>
      <c r="D144" s="64" t="s">
        <v>112</v>
      </c>
      <c r="E144" s="64" t="s">
        <v>250</v>
      </c>
      <c r="F144" s="64" t="s">
        <v>251</v>
      </c>
      <c r="G144" s="64" t="s">
        <v>252</v>
      </c>
      <c r="H144" s="64" t="s">
        <v>253</v>
      </c>
      <c r="I144" s="91">
        <v>6.44</v>
      </c>
      <c r="J144" s="91" t="s">
        <v>115</v>
      </c>
      <c r="K144" s="91" t="s">
        <v>227</v>
      </c>
      <c r="L144" s="91">
        <v>41</v>
      </c>
      <c r="M144" s="91">
        <v>31</v>
      </c>
    </row>
    <row r="145" spans="2:13" x14ac:dyDescent="0.35">
      <c r="B145" s="91"/>
      <c r="C145" s="64" t="s">
        <v>228</v>
      </c>
      <c r="D145" s="64"/>
      <c r="E145" s="64"/>
      <c r="F145" s="64">
        <v>91.537999999999997</v>
      </c>
      <c r="G145" s="64"/>
      <c r="H145" s="64">
        <v>91.513999999999996</v>
      </c>
      <c r="I145" s="91"/>
      <c r="J145" s="91"/>
      <c r="K145" s="91"/>
      <c r="L145" s="91"/>
      <c r="M145" s="91"/>
    </row>
    <row r="146" spans="2:13" x14ac:dyDescent="0.35">
      <c r="B146" s="91"/>
      <c r="C146" s="64" t="s">
        <v>229</v>
      </c>
      <c r="D146" s="64"/>
      <c r="E146" s="64"/>
      <c r="F146" s="77"/>
      <c r="G146" s="64"/>
      <c r="H146" s="77"/>
      <c r="I146" s="91"/>
      <c r="J146" s="91"/>
      <c r="K146" s="91"/>
      <c r="L146" s="91"/>
      <c r="M146" s="91"/>
    </row>
    <row r="147" spans="2:13" x14ac:dyDescent="0.35">
      <c r="B147" s="91">
        <v>14</v>
      </c>
      <c r="C147" s="64" t="s">
        <v>222</v>
      </c>
      <c r="D147" s="64" t="s">
        <v>112</v>
      </c>
      <c r="E147" s="64" t="s">
        <v>252</v>
      </c>
      <c r="F147" s="64" t="s">
        <v>253</v>
      </c>
      <c r="G147" s="64" t="s">
        <v>254</v>
      </c>
      <c r="H147" s="64" t="s">
        <v>255</v>
      </c>
      <c r="I147" s="91">
        <v>3.63</v>
      </c>
      <c r="J147" s="91" t="s">
        <v>115</v>
      </c>
      <c r="K147" s="91" t="s">
        <v>227</v>
      </c>
      <c r="L147" s="91">
        <v>41</v>
      </c>
      <c r="M147" s="91">
        <v>31</v>
      </c>
    </row>
    <row r="148" spans="2:13" x14ac:dyDescent="0.35">
      <c r="B148" s="91"/>
      <c r="C148" s="64" t="s">
        <v>228</v>
      </c>
      <c r="D148" s="64"/>
      <c r="E148" s="64"/>
      <c r="F148" s="64">
        <v>91.513999999999996</v>
      </c>
      <c r="G148" s="64"/>
      <c r="H148" s="64">
        <v>91.486000000000004</v>
      </c>
      <c r="I148" s="91"/>
      <c r="J148" s="91"/>
      <c r="K148" s="91"/>
      <c r="L148" s="91"/>
      <c r="M148" s="91"/>
    </row>
    <row r="149" spans="2:13" x14ac:dyDescent="0.35">
      <c r="B149" s="91"/>
      <c r="C149" s="64" t="s">
        <v>229</v>
      </c>
      <c r="D149" s="64"/>
      <c r="E149" s="64"/>
      <c r="F149" s="77"/>
      <c r="G149" s="64"/>
      <c r="H149" s="77"/>
      <c r="I149" s="91"/>
      <c r="J149" s="91"/>
      <c r="K149" s="91"/>
      <c r="L149" s="91"/>
      <c r="M149" s="91"/>
    </row>
    <row r="150" spans="2:13" x14ac:dyDescent="0.35">
      <c r="B150" s="91">
        <v>15</v>
      </c>
      <c r="C150" s="64" t="s">
        <v>222</v>
      </c>
      <c r="D150" s="64" t="s">
        <v>112</v>
      </c>
      <c r="E150" s="64" t="s">
        <v>254</v>
      </c>
      <c r="F150" s="64" t="s">
        <v>255</v>
      </c>
      <c r="G150" s="64" t="s">
        <v>256</v>
      </c>
      <c r="H150" s="64" t="s">
        <v>257</v>
      </c>
      <c r="I150" s="91">
        <v>5.63</v>
      </c>
      <c r="J150" s="91" t="s">
        <v>115</v>
      </c>
      <c r="K150" s="91" t="s">
        <v>227</v>
      </c>
      <c r="L150" s="91">
        <v>41</v>
      </c>
      <c r="M150" s="91">
        <v>31</v>
      </c>
    </row>
    <row r="151" spans="2:13" x14ac:dyDescent="0.35">
      <c r="B151" s="91"/>
      <c r="C151" s="64" t="s">
        <v>228</v>
      </c>
      <c r="D151" s="64"/>
      <c r="E151" s="64"/>
      <c r="F151" s="64">
        <v>91.486000000000004</v>
      </c>
      <c r="G151" s="64"/>
      <c r="H151" s="64">
        <v>91.441000000000003</v>
      </c>
      <c r="I151" s="91"/>
      <c r="J151" s="91"/>
      <c r="K151" s="91"/>
      <c r="L151" s="91"/>
      <c r="M151" s="91"/>
    </row>
    <row r="152" spans="2:13" x14ac:dyDescent="0.35">
      <c r="B152" s="91"/>
      <c r="C152" s="64" t="s">
        <v>229</v>
      </c>
      <c r="D152" s="64"/>
      <c r="E152" s="64"/>
      <c r="F152" s="77"/>
      <c r="G152" s="64"/>
      <c r="H152" s="77"/>
      <c r="I152" s="91"/>
      <c r="J152" s="91"/>
      <c r="K152" s="91"/>
      <c r="L152" s="91"/>
      <c r="M152" s="91"/>
    </row>
    <row r="153" spans="2:13" x14ac:dyDescent="0.35">
      <c r="B153" s="91">
        <v>16</v>
      </c>
      <c r="C153" s="64" t="s">
        <v>222</v>
      </c>
      <c r="D153" s="64" t="s">
        <v>112</v>
      </c>
      <c r="E153" s="64" t="s">
        <v>256</v>
      </c>
      <c r="F153" s="64" t="s">
        <v>257</v>
      </c>
      <c r="G153" s="64" t="s">
        <v>258</v>
      </c>
      <c r="H153" s="64" t="s">
        <v>259</v>
      </c>
      <c r="I153" s="91">
        <v>4.83</v>
      </c>
      <c r="J153" s="91" t="s">
        <v>115</v>
      </c>
      <c r="K153" s="91" t="s">
        <v>227</v>
      </c>
      <c r="L153" s="91">
        <v>41</v>
      </c>
      <c r="M153" s="91">
        <v>31</v>
      </c>
    </row>
    <row r="154" spans="2:13" x14ac:dyDescent="0.35">
      <c r="B154" s="91"/>
      <c r="C154" s="64" t="s">
        <v>228</v>
      </c>
      <c r="D154" s="64"/>
      <c r="E154" s="64"/>
      <c r="F154" s="64">
        <v>91.441000000000003</v>
      </c>
      <c r="G154" s="64"/>
      <c r="H154" s="64">
        <v>91.403000000000006</v>
      </c>
      <c r="I154" s="91"/>
      <c r="J154" s="91"/>
      <c r="K154" s="91"/>
      <c r="L154" s="91"/>
      <c r="M154" s="91"/>
    </row>
    <row r="155" spans="2:13" x14ac:dyDescent="0.35">
      <c r="B155" s="91"/>
      <c r="C155" s="64" t="s">
        <v>229</v>
      </c>
      <c r="D155" s="64"/>
      <c r="E155" s="64"/>
      <c r="F155" s="77"/>
      <c r="G155" s="64"/>
      <c r="H155" s="77"/>
      <c r="I155" s="91"/>
      <c r="J155" s="91"/>
      <c r="K155" s="91"/>
      <c r="L155" s="91"/>
      <c r="M155" s="91"/>
    </row>
    <row r="156" spans="2:13" x14ac:dyDescent="0.35">
      <c r="B156" s="91">
        <v>17</v>
      </c>
      <c r="C156" s="64" t="s">
        <v>222</v>
      </c>
      <c r="D156" s="64" t="s">
        <v>112</v>
      </c>
      <c r="E156" s="64" t="s">
        <v>258</v>
      </c>
      <c r="F156" s="64" t="s">
        <v>259</v>
      </c>
      <c r="G156" s="64" t="s">
        <v>260</v>
      </c>
      <c r="H156" s="64" t="s">
        <v>261</v>
      </c>
      <c r="I156" s="91">
        <v>8.4499999999999993</v>
      </c>
      <c r="J156" s="91" t="s">
        <v>115</v>
      </c>
      <c r="K156" s="91" t="s">
        <v>227</v>
      </c>
      <c r="L156" s="91">
        <v>39</v>
      </c>
      <c r="M156" s="91">
        <v>33</v>
      </c>
    </row>
    <row r="157" spans="2:13" x14ac:dyDescent="0.35">
      <c r="B157" s="91"/>
      <c r="C157" s="64" t="s">
        <v>228</v>
      </c>
      <c r="D157" s="64"/>
      <c r="E157" s="64"/>
      <c r="F157" s="64">
        <v>91.403000000000006</v>
      </c>
      <c r="G157" s="64"/>
      <c r="H157" s="64">
        <v>91.338999999999999</v>
      </c>
      <c r="I157" s="91"/>
      <c r="J157" s="91"/>
      <c r="K157" s="91"/>
      <c r="L157" s="91"/>
      <c r="M157" s="91"/>
    </row>
    <row r="158" spans="2:13" x14ac:dyDescent="0.35">
      <c r="B158" s="91"/>
      <c r="C158" s="64" t="s">
        <v>229</v>
      </c>
      <c r="D158" s="64"/>
      <c r="E158" s="64"/>
      <c r="F158" s="77"/>
      <c r="G158" s="64"/>
      <c r="H158" s="77"/>
      <c r="I158" s="91"/>
      <c r="J158" s="91"/>
      <c r="K158" s="91"/>
      <c r="L158" s="91"/>
      <c r="M158" s="91"/>
    </row>
    <row r="159" spans="2:13" x14ac:dyDescent="0.35">
      <c r="B159" s="91">
        <v>18</v>
      </c>
      <c r="C159" s="64" t="s">
        <v>222</v>
      </c>
      <c r="D159" s="64" t="s">
        <v>112</v>
      </c>
      <c r="E159" s="64" t="s">
        <v>260</v>
      </c>
      <c r="F159" s="64" t="s">
        <v>261</v>
      </c>
      <c r="G159" s="64" t="s">
        <v>262</v>
      </c>
      <c r="H159" s="64" t="s">
        <v>263</v>
      </c>
      <c r="I159" s="91">
        <v>5.24</v>
      </c>
      <c r="J159" s="91" t="s">
        <v>115</v>
      </c>
      <c r="K159" s="91" t="s">
        <v>227</v>
      </c>
      <c r="L159" s="91">
        <v>39</v>
      </c>
      <c r="M159" s="91">
        <v>33</v>
      </c>
    </row>
    <row r="160" spans="2:13" x14ac:dyDescent="0.35">
      <c r="B160" s="91"/>
      <c r="C160" s="64" t="s">
        <v>228</v>
      </c>
      <c r="D160" s="64"/>
      <c r="E160" s="64"/>
      <c r="F160" s="64">
        <v>91.338999999999999</v>
      </c>
      <c r="G160" s="64"/>
      <c r="H160" s="64">
        <v>91.296999999999997</v>
      </c>
      <c r="I160" s="91"/>
      <c r="J160" s="91"/>
      <c r="K160" s="91"/>
      <c r="L160" s="91"/>
      <c r="M160" s="91"/>
    </row>
    <row r="161" spans="2:13" x14ac:dyDescent="0.35">
      <c r="B161" s="91"/>
      <c r="C161" s="64" t="s">
        <v>229</v>
      </c>
      <c r="D161" s="64"/>
      <c r="E161" s="64"/>
      <c r="F161" s="77"/>
      <c r="G161" s="64"/>
      <c r="H161" s="77"/>
      <c r="I161" s="91"/>
      <c r="J161" s="91"/>
      <c r="K161" s="91"/>
      <c r="L161" s="91"/>
      <c r="M161" s="91"/>
    </row>
    <row r="162" spans="2:13" x14ac:dyDescent="0.35">
      <c r="B162" s="91">
        <v>19</v>
      </c>
      <c r="C162" s="64" t="s">
        <v>222</v>
      </c>
      <c r="D162" s="64" t="s">
        <v>112</v>
      </c>
      <c r="E162" s="64" t="s">
        <v>262</v>
      </c>
      <c r="F162" s="64" t="s">
        <v>263</v>
      </c>
      <c r="G162" s="64" t="s">
        <v>264</v>
      </c>
      <c r="H162" s="64" t="s">
        <v>265</v>
      </c>
      <c r="I162" s="91">
        <v>8.0500000000000007</v>
      </c>
      <c r="J162" s="91" t="s">
        <v>115</v>
      </c>
      <c r="K162" s="91" t="s">
        <v>227</v>
      </c>
      <c r="L162" s="91">
        <v>39</v>
      </c>
      <c r="M162" s="91">
        <v>33</v>
      </c>
    </row>
    <row r="163" spans="2:13" x14ac:dyDescent="0.35">
      <c r="B163" s="91"/>
      <c r="C163" s="64" t="s">
        <v>228</v>
      </c>
      <c r="D163" s="64"/>
      <c r="E163" s="64"/>
      <c r="F163" s="64">
        <v>91.296999999999997</v>
      </c>
      <c r="G163" s="64"/>
      <c r="H163" s="64">
        <v>91.236999999999995</v>
      </c>
      <c r="I163" s="91"/>
      <c r="J163" s="91"/>
      <c r="K163" s="91"/>
      <c r="L163" s="91"/>
      <c r="M163" s="91"/>
    </row>
    <row r="164" spans="2:13" x14ac:dyDescent="0.35">
      <c r="B164" s="91"/>
      <c r="C164" s="64" t="s">
        <v>229</v>
      </c>
      <c r="D164" s="64"/>
      <c r="E164" s="64"/>
      <c r="F164" s="77"/>
      <c r="G164" s="64"/>
      <c r="H164" s="77"/>
      <c r="I164" s="91"/>
      <c r="J164" s="91"/>
      <c r="K164" s="91"/>
      <c r="L164" s="91"/>
      <c r="M164" s="91"/>
    </row>
    <row r="165" spans="2:13" x14ac:dyDescent="0.35">
      <c r="B165" s="91">
        <v>20</v>
      </c>
      <c r="C165" s="64" t="s">
        <v>222</v>
      </c>
      <c r="D165" s="64" t="s">
        <v>112</v>
      </c>
      <c r="E165" s="64" t="s">
        <v>264</v>
      </c>
      <c r="F165" s="64" t="s">
        <v>265</v>
      </c>
      <c r="G165" s="64" t="s">
        <v>266</v>
      </c>
      <c r="H165" s="64" t="s">
        <v>267</v>
      </c>
      <c r="I165" s="91">
        <v>5.23</v>
      </c>
      <c r="J165" s="91" t="s">
        <v>115</v>
      </c>
      <c r="K165" s="91" t="s">
        <v>227</v>
      </c>
      <c r="L165" s="91">
        <v>39</v>
      </c>
      <c r="M165" s="91">
        <v>33</v>
      </c>
    </row>
    <row r="166" spans="2:13" x14ac:dyDescent="0.35">
      <c r="B166" s="91"/>
      <c r="C166" s="64" t="s">
        <v>228</v>
      </c>
      <c r="D166" s="64"/>
      <c r="E166" s="64"/>
      <c r="F166" s="64">
        <v>91.236999999999995</v>
      </c>
      <c r="G166" s="64"/>
      <c r="H166" s="64">
        <v>91.200999999999993</v>
      </c>
      <c r="I166" s="91"/>
      <c r="J166" s="91"/>
      <c r="K166" s="91"/>
      <c r="L166" s="91"/>
      <c r="M166" s="91"/>
    </row>
    <row r="167" spans="2:13" x14ac:dyDescent="0.35">
      <c r="B167" s="91"/>
      <c r="C167" s="64" t="s">
        <v>229</v>
      </c>
      <c r="D167" s="64"/>
      <c r="E167" s="64"/>
      <c r="F167" s="77"/>
      <c r="G167" s="64"/>
      <c r="H167" s="77"/>
      <c r="I167" s="91"/>
      <c r="J167" s="91"/>
      <c r="K167" s="91"/>
      <c r="L167" s="91"/>
      <c r="M167" s="91"/>
    </row>
    <row r="168" spans="2:13" x14ac:dyDescent="0.35">
      <c r="B168" s="91">
        <v>21</v>
      </c>
      <c r="C168" s="64" t="s">
        <v>222</v>
      </c>
      <c r="D168" s="64" t="s">
        <v>112</v>
      </c>
      <c r="E168" s="64" t="s">
        <v>266</v>
      </c>
      <c r="F168" s="64" t="s">
        <v>267</v>
      </c>
      <c r="G168" s="64" t="s">
        <v>268</v>
      </c>
      <c r="H168" s="64" t="s">
        <v>269</v>
      </c>
      <c r="I168" s="91">
        <v>5.63</v>
      </c>
      <c r="J168" s="91" t="s">
        <v>115</v>
      </c>
      <c r="K168" s="91" t="s">
        <v>227</v>
      </c>
      <c r="L168" s="91">
        <v>39</v>
      </c>
      <c r="M168" s="91">
        <v>33</v>
      </c>
    </row>
    <row r="169" spans="2:13" x14ac:dyDescent="0.35">
      <c r="B169" s="91"/>
      <c r="C169" s="64" t="s">
        <v>228</v>
      </c>
      <c r="D169" s="64"/>
      <c r="E169" s="64"/>
      <c r="F169" s="64">
        <v>91.200999999999993</v>
      </c>
      <c r="G169" s="64"/>
      <c r="H169" s="64">
        <v>91.159000000000006</v>
      </c>
      <c r="I169" s="91"/>
      <c r="J169" s="91"/>
      <c r="K169" s="91"/>
      <c r="L169" s="91"/>
      <c r="M169" s="91"/>
    </row>
    <row r="170" spans="2:13" x14ac:dyDescent="0.35">
      <c r="B170" s="91"/>
      <c r="C170" s="64" t="s">
        <v>229</v>
      </c>
      <c r="D170" s="64"/>
      <c r="E170" s="64"/>
      <c r="F170" s="77"/>
      <c r="G170" s="64"/>
      <c r="H170" s="77"/>
      <c r="I170" s="91"/>
      <c r="J170" s="91"/>
      <c r="K170" s="91"/>
      <c r="L170" s="91"/>
      <c r="M170" s="91"/>
    </row>
    <row r="171" spans="2:13" x14ac:dyDescent="0.35">
      <c r="B171" s="91">
        <v>22</v>
      </c>
      <c r="C171" s="64" t="s">
        <v>222</v>
      </c>
      <c r="D171" s="64" t="s">
        <v>112</v>
      </c>
      <c r="E171" s="64" t="s">
        <v>268</v>
      </c>
      <c r="F171" s="64" t="s">
        <v>269</v>
      </c>
      <c r="G171" s="64" t="s">
        <v>270</v>
      </c>
      <c r="H171" s="64" t="s">
        <v>271</v>
      </c>
      <c r="I171" s="91">
        <v>7.65</v>
      </c>
      <c r="J171" s="91" t="s">
        <v>115</v>
      </c>
      <c r="K171" s="91" t="s">
        <v>227</v>
      </c>
      <c r="L171" s="91">
        <v>39</v>
      </c>
      <c r="M171" s="91">
        <v>33</v>
      </c>
    </row>
    <row r="172" spans="2:13" x14ac:dyDescent="0.35">
      <c r="B172" s="91"/>
      <c r="C172" s="64" t="s">
        <v>228</v>
      </c>
      <c r="D172" s="64"/>
      <c r="E172" s="64"/>
      <c r="F172" s="64">
        <v>91.159000000000006</v>
      </c>
      <c r="G172" s="64"/>
      <c r="H172" s="64">
        <v>91.123000000000005</v>
      </c>
      <c r="I172" s="91"/>
      <c r="J172" s="91"/>
      <c r="K172" s="91"/>
      <c r="L172" s="91"/>
      <c r="M172" s="91"/>
    </row>
    <row r="173" spans="2:13" x14ac:dyDescent="0.35">
      <c r="B173" s="91"/>
      <c r="C173" s="64" t="s">
        <v>229</v>
      </c>
      <c r="D173" s="64"/>
      <c r="E173" s="64"/>
      <c r="F173" s="77"/>
      <c r="G173" s="64"/>
      <c r="H173" s="77"/>
      <c r="I173" s="91"/>
      <c r="J173" s="91"/>
      <c r="K173" s="91"/>
      <c r="L173" s="91"/>
      <c r="M173" s="91"/>
    </row>
    <row r="174" spans="2:13" x14ac:dyDescent="0.35">
      <c r="B174" s="91">
        <v>23</v>
      </c>
      <c r="C174" s="64" t="s">
        <v>222</v>
      </c>
      <c r="D174" s="64" t="s">
        <v>112</v>
      </c>
      <c r="E174" s="64" t="s">
        <v>272</v>
      </c>
      <c r="F174" s="64" t="s">
        <v>271</v>
      </c>
      <c r="G174" s="64" t="s">
        <v>273</v>
      </c>
      <c r="H174" s="64" t="s">
        <v>274</v>
      </c>
      <c r="I174" s="91">
        <v>6.08</v>
      </c>
      <c r="J174" s="91" t="s">
        <v>115</v>
      </c>
      <c r="K174" s="91" t="s">
        <v>275</v>
      </c>
      <c r="L174" s="91">
        <v>39</v>
      </c>
      <c r="M174" s="91">
        <v>57</v>
      </c>
    </row>
    <row r="175" spans="2:13" x14ac:dyDescent="0.35">
      <c r="B175" s="91"/>
      <c r="C175" s="64" t="s">
        <v>228</v>
      </c>
      <c r="D175" s="64"/>
      <c r="E175" s="64"/>
      <c r="F175" s="64">
        <v>91.123000000000005</v>
      </c>
      <c r="G175" s="64"/>
      <c r="H175" s="64">
        <v>91.138000000000005</v>
      </c>
      <c r="I175" s="91"/>
      <c r="J175" s="91"/>
      <c r="K175" s="91"/>
      <c r="L175" s="91"/>
      <c r="M175" s="91"/>
    </row>
    <row r="176" spans="2:13" x14ac:dyDescent="0.35">
      <c r="B176" s="91"/>
      <c r="C176" s="64" t="s">
        <v>229</v>
      </c>
      <c r="D176" s="64"/>
      <c r="E176" s="64"/>
      <c r="F176" s="77"/>
      <c r="G176" s="64"/>
      <c r="H176" s="77"/>
      <c r="I176" s="91"/>
      <c r="J176" s="91"/>
      <c r="K176" s="91"/>
      <c r="L176" s="91"/>
      <c r="M176" s="91"/>
    </row>
    <row r="177" spans="2:13" x14ac:dyDescent="0.35">
      <c r="B177" s="91">
        <v>24</v>
      </c>
      <c r="C177" s="64" t="s">
        <v>222</v>
      </c>
      <c r="D177" s="64" t="s">
        <v>112</v>
      </c>
      <c r="E177" s="64" t="s">
        <v>273</v>
      </c>
      <c r="F177" s="64" t="s">
        <v>274</v>
      </c>
      <c r="G177" s="64" t="s">
        <v>276</v>
      </c>
      <c r="H177" s="64" t="s">
        <v>277</v>
      </c>
      <c r="I177" s="91">
        <v>5.59</v>
      </c>
      <c r="J177" s="91" t="s">
        <v>115</v>
      </c>
      <c r="K177" s="91" t="s">
        <v>275</v>
      </c>
      <c r="L177" s="91">
        <v>39</v>
      </c>
      <c r="M177" s="91">
        <v>57</v>
      </c>
    </row>
    <row r="178" spans="2:13" x14ac:dyDescent="0.35">
      <c r="B178" s="91"/>
      <c r="C178" s="64" t="s">
        <v>228</v>
      </c>
      <c r="D178" s="64"/>
      <c r="E178" s="64"/>
      <c r="F178" s="64">
        <v>91.138000000000005</v>
      </c>
      <c r="G178" s="64"/>
      <c r="H178" s="64">
        <v>91.150999999999996</v>
      </c>
      <c r="I178" s="91"/>
      <c r="J178" s="91"/>
      <c r="K178" s="91"/>
      <c r="L178" s="91"/>
      <c r="M178" s="91"/>
    </row>
    <row r="179" spans="2:13" x14ac:dyDescent="0.35">
      <c r="B179" s="91"/>
      <c r="C179" s="64" t="s">
        <v>229</v>
      </c>
      <c r="D179" s="64"/>
      <c r="E179" s="64"/>
      <c r="F179" s="77"/>
      <c r="G179" s="64"/>
      <c r="H179" s="77"/>
      <c r="I179" s="91"/>
      <c r="J179" s="91"/>
      <c r="K179" s="91"/>
      <c r="L179" s="91"/>
      <c r="M179" s="91"/>
    </row>
    <row r="180" spans="2:13" x14ac:dyDescent="0.35">
      <c r="B180" s="91">
        <v>25</v>
      </c>
      <c r="C180" s="64" t="s">
        <v>222</v>
      </c>
      <c r="D180" s="64" t="s">
        <v>112</v>
      </c>
      <c r="E180" s="64" t="s">
        <v>276</v>
      </c>
      <c r="F180" s="64" t="s">
        <v>277</v>
      </c>
      <c r="G180" s="64" t="s">
        <v>278</v>
      </c>
      <c r="H180" s="64" t="s">
        <v>279</v>
      </c>
      <c r="I180" s="91">
        <v>8.4600000000000009</v>
      </c>
      <c r="J180" s="91" t="s">
        <v>115</v>
      </c>
      <c r="K180" s="91" t="s">
        <v>275</v>
      </c>
      <c r="L180" s="91">
        <v>39</v>
      </c>
      <c r="M180" s="91">
        <v>57</v>
      </c>
    </row>
    <row r="181" spans="2:13" x14ac:dyDescent="0.35">
      <c r="B181" s="91"/>
      <c r="C181" s="64" t="s">
        <v>228</v>
      </c>
      <c r="D181" s="64"/>
      <c r="E181" s="64"/>
      <c r="F181" s="64">
        <v>91.150999999999996</v>
      </c>
      <c r="G181" s="64"/>
      <c r="H181" s="64">
        <v>91.17</v>
      </c>
      <c r="I181" s="91"/>
      <c r="J181" s="91"/>
      <c r="K181" s="91"/>
      <c r="L181" s="91"/>
      <c r="M181" s="91"/>
    </row>
    <row r="182" spans="2:13" x14ac:dyDescent="0.35">
      <c r="B182" s="91"/>
      <c r="C182" s="64" t="s">
        <v>229</v>
      </c>
      <c r="D182" s="64"/>
      <c r="E182" s="64"/>
      <c r="F182" s="77"/>
      <c r="G182" s="64"/>
      <c r="H182" s="77"/>
      <c r="I182" s="91"/>
      <c r="J182" s="91"/>
      <c r="K182" s="91"/>
      <c r="L182" s="91"/>
      <c r="M182" s="91"/>
    </row>
    <row r="183" spans="2:13" x14ac:dyDescent="0.35">
      <c r="B183" s="91">
        <v>26</v>
      </c>
      <c r="C183" s="64" t="s">
        <v>222</v>
      </c>
      <c r="D183" s="64" t="s">
        <v>112</v>
      </c>
      <c r="E183" s="64" t="s">
        <v>278</v>
      </c>
      <c r="F183" s="64" t="s">
        <v>279</v>
      </c>
      <c r="G183" s="64" t="s">
        <v>280</v>
      </c>
      <c r="H183" s="64" t="s">
        <v>281</v>
      </c>
      <c r="I183" s="91">
        <v>3.62</v>
      </c>
      <c r="J183" s="91" t="s">
        <v>115</v>
      </c>
      <c r="K183" s="91" t="s">
        <v>275</v>
      </c>
      <c r="L183" s="91">
        <v>39</v>
      </c>
      <c r="M183" s="91">
        <v>57</v>
      </c>
    </row>
    <row r="184" spans="2:13" x14ac:dyDescent="0.35">
      <c r="B184" s="91"/>
      <c r="C184" s="64" t="s">
        <v>228</v>
      </c>
      <c r="D184" s="64"/>
      <c r="E184" s="64"/>
      <c r="F184" s="77">
        <v>91.17</v>
      </c>
      <c r="G184" s="64"/>
      <c r="H184" s="77">
        <v>91.165999999999997</v>
      </c>
      <c r="I184" s="91"/>
      <c r="J184" s="91"/>
      <c r="K184" s="91"/>
      <c r="L184" s="91"/>
      <c r="M184" s="91"/>
    </row>
    <row r="185" spans="2:13" x14ac:dyDescent="0.35">
      <c r="B185" s="91"/>
      <c r="C185" s="64" t="s">
        <v>229</v>
      </c>
      <c r="D185" s="64"/>
      <c r="E185" s="64"/>
      <c r="F185" s="77"/>
      <c r="G185" s="64"/>
      <c r="H185" s="77"/>
      <c r="I185" s="91"/>
      <c r="J185" s="91"/>
      <c r="K185" s="91"/>
      <c r="L185" s="91"/>
      <c r="M185" s="91"/>
    </row>
    <row r="186" spans="2:13" x14ac:dyDescent="0.35">
      <c r="B186" s="91">
        <v>27</v>
      </c>
      <c r="C186" s="64" t="s">
        <v>222</v>
      </c>
      <c r="D186" s="64" t="s">
        <v>112</v>
      </c>
      <c r="E186" s="64" t="s">
        <v>280</v>
      </c>
      <c r="F186" s="64" t="s">
        <v>281</v>
      </c>
      <c r="G186" s="64" t="s">
        <v>282</v>
      </c>
      <c r="H186" s="64" t="s">
        <v>283</v>
      </c>
      <c r="I186" s="91">
        <v>6.44</v>
      </c>
      <c r="J186" s="91" t="s">
        <v>115</v>
      </c>
      <c r="K186" s="91" t="s">
        <v>275</v>
      </c>
      <c r="L186" s="91">
        <v>39</v>
      </c>
      <c r="M186" s="91">
        <v>57</v>
      </c>
    </row>
    <row r="187" spans="2:13" x14ac:dyDescent="0.35">
      <c r="B187" s="91"/>
      <c r="C187" s="64" t="s">
        <v>228</v>
      </c>
      <c r="D187" s="64"/>
      <c r="E187" s="64"/>
      <c r="F187" s="77">
        <v>91.165999999999997</v>
      </c>
      <c r="G187" s="64"/>
      <c r="H187" s="77">
        <v>91.168000000000006</v>
      </c>
      <c r="I187" s="91"/>
      <c r="J187" s="91"/>
      <c r="K187" s="91"/>
      <c r="L187" s="91"/>
      <c r="M187" s="91"/>
    </row>
    <row r="188" spans="2:13" x14ac:dyDescent="0.35">
      <c r="B188" s="91"/>
      <c r="C188" s="64" t="s">
        <v>229</v>
      </c>
      <c r="D188" s="64"/>
      <c r="E188" s="64"/>
      <c r="F188" s="77"/>
      <c r="G188" s="64"/>
      <c r="H188" s="77"/>
      <c r="I188" s="91"/>
      <c r="J188" s="91"/>
      <c r="K188" s="91"/>
      <c r="L188" s="91"/>
      <c r="M188" s="91"/>
    </row>
    <row r="189" spans="2:13" x14ac:dyDescent="0.35">
      <c r="B189" s="91">
        <v>28</v>
      </c>
      <c r="C189" s="64" t="s">
        <v>222</v>
      </c>
      <c r="D189" s="64" t="s">
        <v>112</v>
      </c>
      <c r="E189" s="64" t="s">
        <v>282</v>
      </c>
      <c r="F189" s="64" t="s">
        <v>283</v>
      </c>
      <c r="G189" s="64" t="s">
        <v>284</v>
      </c>
      <c r="H189" s="64" t="s">
        <v>285</v>
      </c>
      <c r="I189" s="91">
        <v>7.24</v>
      </c>
      <c r="J189" s="91" t="s">
        <v>115</v>
      </c>
      <c r="K189" s="91" t="s">
        <v>275</v>
      </c>
      <c r="L189" s="91">
        <v>39</v>
      </c>
      <c r="M189" s="91">
        <v>57</v>
      </c>
    </row>
    <row r="190" spans="2:13" x14ac:dyDescent="0.35">
      <c r="B190" s="91"/>
      <c r="C190" s="64" t="s">
        <v>228</v>
      </c>
      <c r="D190" s="64"/>
      <c r="E190" s="64"/>
      <c r="F190" s="77">
        <v>91.168000000000006</v>
      </c>
      <c r="G190" s="64"/>
      <c r="H190" s="77">
        <v>91.152000000000001</v>
      </c>
      <c r="I190" s="91"/>
      <c r="J190" s="91"/>
      <c r="K190" s="91"/>
      <c r="L190" s="91"/>
      <c r="M190" s="91"/>
    </row>
    <row r="191" spans="2:13" x14ac:dyDescent="0.35">
      <c r="B191" s="91"/>
      <c r="C191" s="64" t="s">
        <v>229</v>
      </c>
      <c r="D191" s="64"/>
      <c r="E191" s="64"/>
      <c r="F191" s="77"/>
      <c r="G191" s="64"/>
      <c r="H191" s="77"/>
      <c r="I191" s="91"/>
      <c r="J191" s="91"/>
      <c r="K191" s="91"/>
      <c r="L191" s="91"/>
      <c r="M191" s="91"/>
    </row>
    <row r="192" spans="2:13" x14ac:dyDescent="0.35">
      <c r="B192" s="91">
        <v>29</v>
      </c>
      <c r="C192" s="64" t="s">
        <v>222</v>
      </c>
      <c r="D192" s="64" t="s">
        <v>112</v>
      </c>
      <c r="E192" s="64" t="s">
        <v>284</v>
      </c>
      <c r="F192" s="64" t="s">
        <v>285</v>
      </c>
      <c r="G192" s="64" t="s">
        <v>286</v>
      </c>
      <c r="H192" s="64" t="s">
        <v>287</v>
      </c>
      <c r="I192" s="91">
        <v>6.44</v>
      </c>
      <c r="J192" s="91" t="s">
        <v>115</v>
      </c>
      <c r="K192" s="91" t="s">
        <v>275</v>
      </c>
      <c r="L192" s="91">
        <v>39</v>
      </c>
      <c r="M192" s="91">
        <v>57</v>
      </c>
    </row>
    <row r="193" spans="2:13" x14ac:dyDescent="0.35">
      <c r="B193" s="91"/>
      <c r="C193" s="64" t="s">
        <v>228</v>
      </c>
      <c r="D193" s="64"/>
      <c r="E193" s="64"/>
      <c r="F193" s="77">
        <v>91.152000000000001</v>
      </c>
      <c r="G193" s="64"/>
      <c r="H193" s="77">
        <v>91.146000000000001</v>
      </c>
      <c r="I193" s="91"/>
      <c r="J193" s="91"/>
      <c r="K193" s="91"/>
      <c r="L193" s="91"/>
      <c r="M193" s="91"/>
    </row>
    <row r="194" spans="2:13" x14ac:dyDescent="0.35">
      <c r="B194" s="91"/>
      <c r="C194" s="64" t="s">
        <v>229</v>
      </c>
      <c r="D194" s="64"/>
      <c r="E194" s="64"/>
      <c r="F194" s="77"/>
      <c r="G194" s="64"/>
      <c r="H194" s="77"/>
      <c r="I194" s="91"/>
      <c r="J194" s="91"/>
      <c r="K194" s="91"/>
      <c r="L194" s="91"/>
      <c r="M194" s="91"/>
    </row>
    <row r="195" spans="2:13" x14ac:dyDescent="0.35">
      <c r="B195" s="91">
        <v>30</v>
      </c>
      <c r="C195" s="64" t="s">
        <v>222</v>
      </c>
      <c r="D195" s="64" t="s">
        <v>112</v>
      </c>
      <c r="E195" s="64" t="s">
        <v>286</v>
      </c>
      <c r="F195" s="64" t="s">
        <v>287</v>
      </c>
      <c r="G195" s="64" t="s">
        <v>288</v>
      </c>
      <c r="H195" s="64" t="s">
        <v>289</v>
      </c>
      <c r="I195" s="91">
        <v>5.64</v>
      </c>
      <c r="J195" s="91" t="s">
        <v>115</v>
      </c>
      <c r="K195" s="91" t="s">
        <v>275</v>
      </c>
      <c r="L195" s="91">
        <v>39</v>
      </c>
      <c r="M195" s="91">
        <v>57</v>
      </c>
    </row>
    <row r="196" spans="2:13" x14ac:dyDescent="0.35">
      <c r="B196" s="91"/>
      <c r="C196" s="64" t="s">
        <v>228</v>
      </c>
      <c r="D196" s="64"/>
      <c r="E196" s="64"/>
      <c r="F196" s="77">
        <v>91.146000000000001</v>
      </c>
      <c r="G196" s="64"/>
      <c r="H196" s="77">
        <v>91.152000000000001</v>
      </c>
      <c r="I196" s="91"/>
      <c r="J196" s="91"/>
      <c r="K196" s="91"/>
      <c r="L196" s="91"/>
      <c r="M196" s="91"/>
    </row>
    <row r="197" spans="2:13" x14ac:dyDescent="0.35">
      <c r="B197" s="91"/>
      <c r="C197" s="64" t="s">
        <v>229</v>
      </c>
      <c r="D197" s="64"/>
      <c r="E197" s="64"/>
      <c r="F197" s="77"/>
      <c r="G197" s="64"/>
      <c r="H197" s="77"/>
      <c r="I197" s="91"/>
      <c r="J197" s="91"/>
      <c r="K197" s="91"/>
      <c r="L197" s="91"/>
      <c r="M197" s="91"/>
    </row>
    <row r="198" spans="2:13" x14ac:dyDescent="0.35">
      <c r="B198" s="91">
        <v>31</v>
      </c>
      <c r="C198" s="64" t="s">
        <v>222</v>
      </c>
      <c r="D198" s="64" t="s">
        <v>112</v>
      </c>
      <c r="E198" s="64" t="s">
        <v>288</v>
      </c>
      <c r="F198" s="64" t="s">
        <v>289</v>
      </c>
      <c r="G198" s="64" t="s">
        <v>290</v>
      </c>
      <c r="H198" s="64" t="s">
        <v>291</v>
      </c>
      <c r="I198" s="91">
        <v>6.44</v>
      </c>
      <c r="J198" s="91" t="s">
        <v>115</v>
      </c>
      <c r="K198" s="91" t="s">
        <v>275</v>
      </c>
      <c r="L198" s="91">
        <v>39</v>
      </c>
      <c r="M198" s="91">
        <v>57</v>
      </c>
    </row>
    <row r="199" spans="2:13" x14ac:dyDescent="0.35">
      <c r="B199" s="91"/>
      <c r="C199" s="64" t="s">
        <v>228</v>
      </c>
      <c r="D199" s="64"/>
      <c r="E199" s="64"/>
      <c r="F199" s="77">
        <v>91.152000000000001</v>
      </c>
      <c r="G199" s="64"/>
      <c r="H199" s="77">
        <v>91.147000000000006</v>
      </c>
      <c r="I199" s="91"/>
      <c r="J199" s="91"/>
      <c r="K199" s="91"/>
      <c r="L199" s="91"/>
      <c r="M199" s="91"/>
    </row>
    <row r="200" spans="2:13" x14ac:dyDescent="0.35">
      <c r="B200" s="91"/>
      <c r="C200" s="64" t="s">
        <v>229</v>
      </c>
      <c r="D200" s="64"/>
      <c r="E200" s="64"/>
      <c r="F200" s="77"/>
      <c r="G200" s="64"/>
      <c r="H200" s="77"/>
      <c r="I200" s="91"/>
      <c r="J200" s="91"/>
      <c r="K200" s="91"/>
      <c r="L200" s="91"/>
      <c r="M200" s="91"/>
    </row>
    <row r="201" spans="2:13" x14ac:dyDescent="0.35">
      <c r="B201" s="91">
        <v>32</v>
      </c>
      <c r="C201" s="64" t="s">
        <v>222</v>
      </c>
      <c r="D201" s="64" t="s">
        <v>112</v>
      </c>
      <c r="E201" s="64" t="s">
        <v>290</v>
      </c>
      <c r="F201" s="64" t="s">
        <v>291</v>
      </c>
      <c r="G201" s="64" t="s">
        <v>292</v>
      </c>
      <c r="H201" s="64" t="s">
        <v>293</v>
      </c>
      <c r="I201" s="91">
        <v>4.83</v>
      </c>
      <c r="J201" s="91" t="s">
        <v>115</v>
      </c>
      <c r="K201" s="91" t="s">
        <v>275</v>
      </c>
      <c r="L201" s="91">
        <v>39</v>
      </c>
      <c r="M201" s="91">
        <v>57</v>
      </c>
    </row>
    <row r="202" spans="2:13" x14ac:dyDescent="0.35">
      <c r="B202" s="91"/>
      <c r="C202" s="64" t="s">
        <v>228</v>
      </c>
      <c r="D202" s="64"/>
      <c r="E202" s="64"/>
      <c r="F202" s="77">
        <v>91.147000000000006</v>
      </c>
      <c r="G202" s="64"/>
      <c r="H202" s="77">
        <v>91.173000000000002</v>
      </c>
      <c r="I202" s="91"/>
      <c r="J202" s="91"/>
      <c r="K202" s="91"/>
      <c r="L202" s="91"/>
      <c r="M202" s="91"/>
    </row>
    <row r="203" spans="2:13" x14ac:dyDescent="0.35">
      <c r="B203" s="91"/>
      <c r="C203" s="64" t="s">
        <v>229</v>
      </c>
      <c r="D203" s="64"/>
      <c r="E203" s="64"/>
      <c r="F203" s="77"/>
      <c r="G203" s="64"/>
      <c r="H203" s="77"/>
      <c r="I203" s="91"/>
      <c r="J203" s="91"/>
      <c r="K203" s="91"/>
      <c r="L203" s="91"/>
      <c r="M203" s="91"/>
    </row>
    <row r="204" spans="2:13" x14ac:dyDescent="0.35">
      <c r="B204" s="91">
        <v>33</v>
      </c>
      <c r="C204" s="64" t="s">
        <v>222</v>
      </c>
      <c r="D204" s="64" t="s">
        <v>112</v>
      </c>
      <c r="E204" s="64" t="s">
        <v>292</v>
      </c>
      <c r="F204" s="64" t="s">
        <v>293</v>
      </c>
      <c r="G204" s="64" t="s">
        <v>294</v>
      </c>
      <c r="H204" s="64" t="s">
        <v>295</v>
      </c>
      <c r="I204" s="91">
        <v>6.04</v>
      </c>
      <c r="J204" s="91" t="s">
        <v>115</v>
      </c>
      <c r="K204" s="91" t="s">
        <v>275</v>
      </c>
      <c r="L204" s="91">
        <v>39</v>
      </c>
      <c r="M204" s="91">
        <v>57</v>
      </c>
    </row>
    <row r="205" spans="2:13" x14ac:dyDescent="0.35">
      <c r="B205" s="91"/>
      <c r="C205" s="64" t="s">
        <v>228</v>
      </c>
      <c r="D205" s="64"/>
      <c r="E205" s="64"/>
      <c r="F205" s="77">
        <v>91.173000000000002</v>
      </c>
      <c r="G205" s="64"/>
      <c r="H205" s="77">
        <v>91.192999999999998</v>
      </c>
      <c r="I205" s="91"/>
      <c r="J205" s="91"/>
      <c r="K205" s="91"/>
      <c r="L205" s="91"/>
      <c r="M205" s="91"/>
    </row>
    <row r="206" spans="2:13" x14ac:dyDescent="0.35">
      <c r="B206" s="91"/>
      <c r="C206" s="64" t="s">
        <v>229</v>
      </c>
      <c r="D206" s="64"/>
      <c r="E206" s="64"/>
      <c r="F206" s="77"/>
      <c r="G206" s="64"/>
      <c r="H206" s="77"/>
      <c r="I206" s="91"/>
      <c r="J206" s="91"/>
      <c r="K206" s="91"/>
      <c r="L206" s="91"/>
      <c r="M206" s="91"/>
    </row>
    <row r="207" spans="2:13" x14ac:dyDescent="0.35">
      <c r="B207" s="91">
        <v>34</v>
      </c>
      <c r="C207" s="64" t="s">
        <v>222</v>
      </c>
      <c r="D207" s="64" t="s">
        <v>112</v>
      </c>
      <c r="E207" s="64" t="s">
        <v>294</v>
      </c>
      <c r="F207" s="64" t="s">
        <v>295</v>
      </c>
      <c r="G207" s="64" t="s">
        <v>296</v>
      </c>
      <c r="H207" s="64" t="s">
        <v>297</v>
      </c>
      <c r="I207" s="91">
        <v>4.42</v>
      </c>
      <c r="J207" s="91" t="s">
        <v>115</v>
      </c>
      <c r="K207" s="91" t="s">
        <v>275</v>
      </c>
      <c r="L207" s="91">
        <v>39</v>
      </c>
      <c r="M207" s="91">
        <v>57</v>
      </c>
    </row>
    <row r="208" spans="2:13" x14ac:dyDescent="0.35">
      <c r="B208" s="91"/>
      <c r="C208" s="64" t="s">
        <v>228</v>
      </c>
      <c r="D208" s="64"/>
      <c r="E208" s="64"/>
      <c r="F208" s="77">
        <v>91.192999999999998</v>
      </c>
      <c r="G208" s="64"/>
      <c r="H208" s="77">
        <v>91.204999999999998</v>
      </c>
      <c r="I208" s="91"/>
      <c r="J208" s="91"/>
      <c r="K208" s="91"/>
      <c r="L208" s="91"/>
      <c r="M208" s="91"/>
    </row>
    <row r="209" spans="2:13" x14ac:dyDescent="0.35">
      <c r="B209" s="91"/>
      <c r="C209" s="64" t="s">
        <v>229</v>
      </c>
      <c r="D209" s="64"/>
      <c r="E209" s="64"/>
      <c r="F209" s="77"/>
      <c r="G209" s="64"/>
      <c r="H209" s="77"/>
      <c r="I209" s="91"/>
      <c r="J209" s="91"/>
      <c r="K209" s="91"/>
      <c r="L209" s="91"/>
      <c r="M209" s="91"/>
    </row>
    <row r="210" spans="2:13" x14ac:dyDescent="0.35">
      <c r="B210" s="91">
        <v>35</v>
      </c>
      <c r="C210" s="64" t="s">
        <v>222</v>
      </c>
      <c r="D210" s="64" t="s">
        <v>112</v>
      </c>
      <c r="E210" s="64" t="s">
        <v>270</v>
      </c>
      <c r="F210" s="64" t="s">
        <v>271</v>
      </c>
      <c r="G210" s="64" t="s">
        <v>298</v>
      </c>
      <c r="H210" s="64" t="s">
        <v>299</v>
      </c>
      <c r="I210" s="91">
        <v>2.0099999999999998</v>
      </c>
      <c r="J210" s="91" t="s">
        <v>115</v>
      </c>
      <c r="K210" s="91" t="s">
        <v>300</v>
      </c>
      <c r="L210" s="91">
        <v>7</v>
      </c>
      <c r="M210" s="91">
        <v>41</v>
      </c>
    </row>
    <row r="211" spans="2:13" x14ac:dyDescent="0.35">
      <c r="B211" s="91"/>
      <c r="C211" s="64" t="s">
        <v>228</v>
      </c>
      <c r="D211" s="64"/>
      <c r="E211" s="64"/>
      <c r="F211" s="64">
        <v>91.123000000000005</v>
      </c>
      <c r="G211" s="64"/>
      <c r="H211" s="77">
        <v>91.122</v>
      </c>
      <c r="I211" s="91"/>
      <c r="J211" s="91"/>
      <c r="K211" s="91"/>
      <c r="L211" s="91"/>
      <c r="M211" s="91"/>
    </row>
    <row r="212" spans="2:13" x14ac:dyDescent="0.35">
      <c r="B212" s="91"/>
      <c r="C212" s="64" t="s">
        <v>229</v>
      </c>
      <c r="D212" s="64"/>
      <c r="E212" s="64"/>
      <c r="F212" s="77"/>
      <c r="G212" s="64"/>
      <c r="H212" s="77"/>
      <c r="I212" s="91"/>
      <c r="J212" s="91"/>
      <c r="K212" s="91"/>
      <c r="L212" s="91"/>
      <c r="M212" s="91"/>
    </row>
    <row r="213" spans="2:13" x14ac:dyDescent="0.35">
      <c r="B213" s="91">
        <v>36</v>
      </c>
      <c r="C213" s="64" t="s">
        <v>222</v>
      </c>
      <c r="D213" s="64" t="s">
        <v>112</v>
      </c>
      <c r="E213" s="64" t="s">
        <v>298</v>
      </c>
      <c r="F213" s="64" t="s">
        <v>299</v>
      </c>
      <c r="G213" s="64" t="s">
        <v>301</v>
      </c>
      <c r="H213" s="64" t="s">
        <v>302</v>
      </c>
      <c r="I213" s="91">
        <v>8.0500000000000007</v>
      </c>
      <c r="J213" s="91" t="s">
        <v>115</v>
      </c>
      <c r="K213" s="91" t="s">
        <v>300</v>
      </c>
      <c r="L213" s="91">
        <v>7</v>
      </c>
      <c r="M213" s="91">
        <v>41</v>
      </c>
    </row>
    <row r="214" spans="2:13" x14ac:dyDescent="0.35">
      <c r="B214" s="91"/>
      <c r="C214" s="64" t="s">
        <v>228</v>
      </c>
      <c r="D214" s="64"/>
      <c r="E214" s="64"/>
      <c r="F214" s="77">
        <v>91.122</v>
      </c>
      <c r="G214" s="64"/>
      <c r="H214" s="77">
        <v>91.128</v>
      </c>
      <c r="I214" s="91"/>
      <c r="J214" s="91"/>
      <c r="K214" s="91"/>
      <c r="L214" s="91"/>
      <c r="M214" s="91"/>
    </row>
    <row r="215" spans="2:13" x14ac:dyDescent="0.35">
      <c r="B215" s="91"/>
      <c r="C215" s="64" t="s">
        <v>229</v>
      </c>
      <c r="D215" s="64"/>
      <c r="E215" s="64"/>
      <c r="F215" s="77"/>
      <c r="G215" s="64"/>
      <c r="H215" s="77"/>
      <c r="I215" s="91"/>
      <c r="J215" s="91"/>
      <c r="K215" s="91"/>
      <c r="L215" s="91"/>
      <c r="M215" s="91"/>
    </row>
    <row r="216" spans="2:13" x14ac:dyDescent="0.35">
      <c r="B216" s="91">
        <v>37</v>
      </c>
      <c r="C216" s="64" t="s">
        <v>222</v>
      </c>
      <c r="D216" s="64" t="s">
        <v>112</v>
      </c>
      <c r="E216" s="64" t="s">
        <v>301</v>
      </c>
      <c r="F216" s="64" t="s">
        <v>302</v>
      </c>
      <c r="G216" s="64" t="s">
        <v>303</v>
      </c>
      <c r="H216" s="64" t="s">
        <v>304</v>
      </c>
      <c r="I216" s="91">
        <v>6.03</v>
      </c>
      <c r="J216" s="91" t="s">
        <v>115</v>
      </c>
      <c r="K216" s="91" t="s">
        <v>300</v>
      </c>
      <c r="L216" s="91">
        <v>7</v>
      </c>
      <c r="M216" s="91">
        <v>41</v>
      </c>
    </row>
    <row r="217" spans="2:13" x14ac:dyDescent="0.35">
      <c r="B217" s="91"/>
      <c r="C217" s="64" t="s">
        <v>228</v>
      </c>
      <c r="D217" s="64"/>
      <c r="E217" s="64"/>
      <c r="F217" s="77">
        <v>91.128</v>
      </c>
      <c r="G217" s="64"/>
      <c r="H217" s="77">
        <v>91.114999999999995</v>
      </c>
      <c r="I217" s="91"/>
      <c r="J217" s="91"/>
      <c r="K217" s="91"/>
      <c r="L217" s="91"/>
      <c r="M217" s="91"/>
    </row>
    <row r="218" spans="2:13" x14ac:dyDescent="0.35">
      <c r="B218" s="91"/>
      <c r="C218" s="64" t="s">
        <v>229</v>
      </c>
      <c r="D218" s="64"/>
      <c r="E218" s="64"/>
      <c r="F218" s="77"/>
      <c r="G218" s="64"/>
      <c r="H218" s="77"/>
      <c r="I218" s="91"/>
      <c r="J218" s="91"/>
      <c r="K218" s="91"/>
      <c r="L218" s="91"/>
      <c r="M218" s="91"/>
    </row>
    <row r="219" spans="2:13" x14ac:dyDescent="0.35">
      <c r="B219" s="91">
        <v>38</v>
      </c>
      <c r="C219" s="64" t="s">
        <v>222</v>
      </c>
      <c r="D219" s="64" t="s">
        <v>112</v>
      </c>
      <c r="E219" s="64" t="s">
        <v>303</v>
      </c>
      <c r="F219" s="64" t="s">
        <v>304</v>
      </c>
      <c r="G219" s="64" t="s">
        <v>305</v>
      </c>
      <c r="H219" s="64" t="s">
        <v>306</v>
      </c>
      <c r="I219" s="91">
        <v>8.44</v>
      </c>
      <c r="J219" s="91" t="s">
        <v>115</v>
      </c>
      <c r="K219" s="91" t="s">
        <v>300</v>
      </c>
      <c r="L219" s="91">
        <v>7</v>
      </c>
      <c r="M219" s="91">
        <v>41</v>
      </c>
    </row>
    <row r="220" spans="2:13" x14ac:dyDescent="0.35">
      <c r="B220" s="91"/>
      <c r="C220" s="64" t="s">
        <v>228</v>
      </c>
      <c r="D220" s="64"/>
      <c r="E220" s="64"/>
      <c r="F220" s="77">
        <v>91.114999999999995</v>
      </c>
      <c r="G220" s="64"/>
      <c r="H220" s="77">
        <v>91.096999999999994</v>
      </c>
      <c r="I220" s="91"/>
      <c r="J220" s="91"/>
      <c r="K220" s="91"/>
      <c r="L220" s="91"/>
      <c r="M220" s="91"/>
    </row>
    <row r="221" spans="2:13" x14ac:dyDescent="0.35">
      <c r="B221" s="91"/>
      <c r="C221" s="64" t="s">
        <v>229</v>
      </c>
      <c r="D221" s="64"/>
      <c r="E221" s="64"/>
      <c r="F221" s="77"/>
      <c r="G221" s="64"/>
      <c r="H221" s="77"/>
      <c r="I221" s="91"/>
      <c r="J221" s="91"/>
      <c r="K221" s="91"/>
      <c r="L221" s="91"/>
      <c r="M221" s="91"/>
    </row>
    <row r="222" spans="2:13" x14ac:dyDescent="0.35">
      <c r="B222" s="91">
        <v>39</v>
      </c>
      <c r="C222" s="64" t="s">
        <v>222</v>
      </c>
      <c r="D222" s="64" t="s">
        <v>112</v>
      </c>
      <c r="E222" s="64" t="s">
        <v>305</v>
      </c>
      <c r="F222" s="64" t="s">
        <v>306</v>
      </c>
      <c r="G222" s="64" t="s">
        <v>307</v>
      </c>
      <c r="H222" s="64" t="s">
        <v>308</v>
      </c>
      <c r="I222" s="91">
        <v>5.23</v>
      </c>
      <c r="J222" s="91" t="s">
        <v>115</v>
      </c>
      <c r="K222" s="91" t="s">
        <v>300</v>
      </c>
      <c r="L222" s="91">
        <v>7</v>
      </c>
      <c r="M222" s="91">
        <v>41</v>
      </c>
    </row>
    <row r="223" spans="2:13" x14ac:dyDescent="0.35">
      <c r="B223" s="91"/>
      <c r="C223" s="64" t="s">
        <v>228</v>
      </c>
      <c r="D223" s="64"/>
      <c r="E223" s="64"/>
      <c r="F223" s="77">
        <v>91.096999999999994</v>
      </c>
      <c r="G223" s="64"/>
      <c r="H223" s="77">
        <v>91.1</v>
      </c>
      <c r="I223" s="91"/>
      <c r="J223" s="91"/>
      <c r="K223" s="91"/>
      <c r="L223" s="91"/>
      <c r="M223" s="91"/>
    </row>
    <row r="224" spans="2:13" x14ac:dyDescent="0.35">
      <c r="B224" s="91"/>
      <c r="C224" s="64" t="s">
        <v>229</v>
      </c>
      <c r="D224" s="64"/>
      <c r="E224" s="64"/>
      <c r="F224" s="77"/>
      <c r="G224" s="64"/>
      <c r="H224" s="77"/>
      <c r="I224" s="91"/>
      <c r="J224" s="91"/>
      <c r="K224" s="91"/>
      <c r="L224" s="91"/>
      <c r="M224" s="91"/>
    </row>
    <row r="225" spans="2:13" x14ac:dyDescent="0.35">
      <c r="B225" s="91">
        <v>40</v>
      </c>
      <c r="C225" s="64" t="s">
        <v>222</v>
      </c>
      <c r="D225" s="64" t="s">
        <v>112</v>
      </c>
      <c r="E225" s="64" t="s">
        <v>307</v>
      </c>
      <c r="F225" s="64" t="s">
        <v>308</v>
      </c>
      <c r="G225" s="64" t="s">
        <v>309</v>
      </c>
      <c r="H225" s="64" t="s">
        <v>310</v>
      </c>
      <c r="I225" s="91">
        <v>5.74</v>
      </c>
      <c r="J225" s="91" t="s">
        <v>115</v>
      </c>
      <c r="K225" s="91" t="s">
        <v>300</v>
      </c>
      <c r="L225" s="91">
        <v>7</v>
      </c>
      <c r="M225" s="91">
        <v>41</v>
      </c>
    </row>
    <row r="226" spans="2:13" x14ac:dyDescent="0.35">
      <c r="B226" s="91"/>
      <c r="C226" s="64" t="s">
        <v>228</v>
      </c>
      <c r="D226" s="64"/>
      <c r="E226" s="64"/>
      <c r="F226" s="77">
        <v>91.1</v>
      </c>
      <c r="G226" s="64"/>
      <c r="H226" s="77">
        <v>91.12</v>
      </c>
      <c r="I226" s="91"/>
      <c r="J226" s="91"/>
      <c r="K226" s="91"/>
      <c r="L226" s="91"/>
      <c r="M226" s="91"/>
    </row>
    <row r="227" spans="2:13" x14ac:dyDescent="0.35">
      <c r="B227" s="91"/>
      <c r="C227" s="64" t="s">
        <v>229</v>
      </c>
      <c r="D227" s="64"/>
      <c r="E227" s="64"/>
      <c r="F227" s="77"/>
      <c r="G227" s="64"/>
      <c r="H227" s="77"/>
      <c r="I227" s="91"/>
      <c r="J227" s="91"/>
      <c r="K227" s="91"/>
      <c r="L227" s="91"/>
      <c r="M227" s="91"/>
    </row>
    <row r="228" spans="2:13" x14ac:dyDescent="0.35">
      <c r="B228" s="91">
        <v>41</v>
      </c>
      <c r="C228" s="64" t="s">
        <v>222</v>
      </c>
      <c r="D228" s="64" t="s">
        <v>112</v>
      </c>
      <c r="E228" s="64" t="s">
        <v>309</v>
      </c>
      <c r="F228" s="64" t="s">
        <v>310</v>
      </c>
      <c r="G228" s="64" t="s">
        <v>311</v>
      </c>
      <c r="H228" s="64" t="s">
        <v>312</v>
      </c>
      <c r="I228" s="91">
        <v>9.66</v>
      </c>
      <c r="J228" s="91" t="s">
        <v>115</v>
      </c>
      <c r="K228" s="91" t="s">
        <v>300</v>
      </c>
      <c r="L228" s="91">
        <v>7</v>
      </c>
      <c r="M228" s="91">
        <v>41</v>
      </c>
    </row>
    <row r="229" spans="2:13" x14ac:dyDescent="0.35">
      <c r="B229" s="91"/>
      <c r="C229" s="64" t="s">
        <v>228</v>
      </c>
      <c r="D229" s="64"/>
      <c r="E229" s="64"/>
      <c r="F229" s="77">
        <v>91.12</v>
      </c>
      <c r="G229" s="64"/>
      <c r="H229" s="77">
        <v>91.105000000000004</v>
      </c>
      <c r="I229" s="91"/>
      <c r="J229" s="91"/>
      <c r="K229" s="91"/>
      <c r="L229" s="91"/>
      <c r="M229" s="91"/>
    </row>
    <row r="230" spans="2:13" x14ac:dyDescent="0.35">
      <c r="B230" s="91"/>
      <c r="C230" s="64" t="s">
        <v>229</v>
      </c>
      <c r="D230" s="64"/>
      <c r="E230" s="64"/>
      <c r="F230" s="77"/>
      <c r="G230" s="64"/>
      <c r="H230" s="77"/>
      <c r="I230" s="91"/>
      <c r="J230" s="91"/>
      <c r="K230" s="91"/>
      <c r="L230" s="91"/>
      <c r="M230" s="91"/>
    </row>
    <row r="231" spans="2:13" x14ac:dyDescent="0.35">
      <c r="B231" s="91">
        <v>42</v>
      </c>
      <c r="C231" s="64" t="s">
        <v>222</v>
      </c>
      <c r="D231" s="64" t="s">
        <v>112</v>
      </c>
      <c r="E231" s="64" t="s">
        <v>311</v>
      </c>
      <c r="F231" s="64" t="s">
        <v>312</v>
      </c>
      <c r="G231" s="64" t="s">
        <v>313</v>
      </c>
      <c r="H231" s="64" t="s">
        <v>314</v>
      </c>
      <c r="I231" s="91">
        <v>3.3</v>
      </c>
      <c r="J231" s="91" t="s">
        <v>115</v>
      </c>
      <c r="K231" s="91" t="s">
        <v>300</v>
      </c>
      <c r="L231" s="91">
        <v>7</v>
      </c>
      <c r="M231" s="91">
        <v>41</v>
      </c>
    </row>
    <row r="232" spans="2:13" x14ac:dyDescent="0.35">
      <c r="B232" s="91"/>
      <c r="C232" s="64" t="s">
        <v>228</v>
      </c>
      <c r="D232" s="64"/>
      <c r="E232" s="64"/>
      <c r="F232" s="77">
        <v>91.105000000000004</v>
      </c>
      <c r="G232" s="64"/>
      <c r="H232" s="77">
        <v>91.100999999999999</v>
      </c>
      <c r="I232" s="91"/>
      <c r="J232" s="91"/>
      <c r="K232" s="91"/>
      <c r="L232" s="91"/>
      <c r="M232" s="91"/>
    </row>
    <row r="233" spans="2:13" x14ac:dyDescent="0.35">
      <c r="B233" s="91"/>
      <c r="C233" s="64" t="s">
        <v>229</v>
      </c>
      <c r="D233" s="64"/>
      <c r="E233" s="64"/>
      <c r="F233" s="77"/>
      <c r="G233" s="64"/>
      <c r="H233" s="77"/>
      <c r="I233" s="91"/>
      <c r="J233" s="91"/>
      <c r="K233" s="91"/>
      <c r="L233" s="91"/>
      <c r="M233" s="91"/>
    </row>
    <row r="234" spans="2:13" x14ac:dyDescent="0.35">
      <c r="B234" s="91">
        <v>43</v>
      </c>
      <c r="C234" s="64" t="s">
        <v>222</v>
      </c>
      <c r="D234" s="64" t="s">
        <v>112</v>
      </c>
      <c r="E234" s="64" t="s">
        <v>270</v>
      </c>
      <c r="F234" s="64" t="s">
        <v>271</v>
      </c>
      <c r="G234" s="64" t="s">
        <v>315</v>
      </c>
      <c r="H234" s="64" t="s">
        <v>316</v>
      </c>
      <c r="I234" s="91">
        <v>10.86</v>
      </c>
      <c r="J234" s="91" t="s">
        <v>115</v>
      </c>
      <c r="K234" s="91" t="s">
        <v>300</v>
      </c>
      <c r="L234" s="91">
        <v>7</v>
      </c>
      <c r="M234" s="91">
        <v>41</v>
      </c>
    </row>
    <row r="235" spans="2:13" x14ac:dyDescent="0.35">
      <c r="B235" s="91"/>
      <c r="C235" s="64" t="s">
        <v>228</v>
      </c>
      <c r="D235" s="64"/>
      <c r="E235" s="64"/>
      <c r="F235" s="64">
        <v>91.123000000000005</v>
      </c>
      <c r="G235" s="64"/>
      <c r="H235" s="77">
        <v>91.028999999999996</v>
      </c>
      <c r="I235" s="91"/>
      <c r="J235" s="91"/>
      <c r="K235" s="91"/>
      <c r="L235" s="91"/>
      <c r="M235" s="91"/>
    </row>
    <row r="236" spans="2:13" x14ac:dyDescent="0.35">
      <c r="B236" s="91"/>
      <c r="C236" s="64" t="s">
        <v>229</v>
      </c>
      <c r="D236" s="64"/>
      <c r="E236" s="64"/>
      <c r="F236" s="77"/>
      <c r="G236" s="64"/>
      <c r="H236" s="77"/>
      <c r="I236" s="91"/>
      <c r="J236" s="91"/>
      <c r="K236" s="91"/>
      <c r="L236" s="91"/>
      <c r="M236" s="91"/>
    </row>
    <row r="237" spans="2:13" x14ac:dyDescent="0.35">
      <c r="B237" s="91">
        <v>44</v>
      </c>
      <c r="C237" s="64" t="s">
        <v>222</v>
      </c>
      <c r="D237" s="64" t="s">
        <v>112</v>
      </c>
      <c r="E237" s="64" t="s">
        <v>315</v>
      </c>
      <c r="F237" s="64" t="s">
        <v>316</v>
      </c>
      <c r="G237" s="64" t="s">
        <v>317</v>
      </c>
      <c r="H237" s="64" t="s">
        <v>318</v>
      </c>
      <c r="I237" s="91">
        <v>8.84</v>
      </c>
      <c r="J237" s="91" t="s">
        <v>115</v>
      </c>
      <c r="K237" s="91" t="s">
        <v>300</v>
      </c>
      <c r="L237" s="91">
        <v>7</v>
      </c>
      <c r="M237" s="91">
        <v>41</v>
      </c>
    </row>
    <row r="238" spans="2:13" x14ac:dyDescent="0.35">
      <c r="B238" s="91"/>
      <c r="C238" s="64" t="s">
        <v>228</v>
      </c>
      <c r="D238" s="64"/>
      <c r="E238" s="64"/>
      <c r="F238" s="77">
        <v>91.028999999999996</v>
      </c>
      <c r="G238" s="64"/>
      <c r="H238" s="77">
        <v>90.942999999999998</v>
      </c>
      <c r="I238" s="91"/>
      <c r="J238" s="91"/>
      <c r="K238" s="91"/>
      <c r="L238" s="91"/>
      <c r="M238" s="91"/>
    </row>
    <row r="239" spans="2:13" x14ac:dyDescent="0.35">
      <c r="B239" s="91"/>
      <c r="C239" s="64" t="s">
        <v>229</v>
      </c>
      <c r="D239" s="64"/>
      <c r="E239" s="64"/>
      <c r="F239" s="77"/>
      <c r="G239" s="64"/>
      <c r="H239" s="77"/>
      <c r="I239" s="91"/>
      <c r="J239" s="91"/>
      <c r="K239" s="91"/>
      <c r="L239" s="91"/>
      <c r="M239" s="91"/>
    </row>
    <row r="240" spans="2:13" x14ac:dyDescent="0.35">
      <c r="B240" s="91">
        <v>45</v>
      </c>
      <c r="C240" s="64" t="s">
        <v>222</v>
      </c>
      <c r="D240" s="64" t="s">
        <v>112</v>
      </c>
      <c r="E240" s="64" t="s">
        <v>317</v>
      </c>
      <c r="F240" s="64" t="s">
        <v>318</v>
      </c>
      <c r="G240" s="64" t="s">
        <v>319</v>
      </c>
      <c r="H240" s="64" t="s">
        <v>320</v>
      </c>
      <c r="I240" s="91">
        <v>10.46</v>
      </c>
      <c r="J240" s="91" t="s">
        <v>115</v>
      </c>
      <c r="K240" s="91" t="s">
        <v>300</v>
      </c>
      <c r="L240" s="91">
        <v>7</v>
      </c>
      <c r="M240" s="91">
        <v>41</v>
      </c>
    </row>
    <row r="241" spans="2:13" x14ac:dyDescent="0.35">
      <c r="B241" s="91"/>
      <c r="C241" s="64" t="s">
        <v>228</v>
      </c>
      <c r="D241" s="64"/>
      <c r="E241" s="64"/>
      <c r="F241" s="77">
        <v>90.942999999999998</v>
      </c>
      <c r="G241" s="64"/>
      <c r="H241" s="77">
        <v>90.843999999999994</v>
      </c>
      <c r="I241" s="91"/>
      <c r="J241" s="91"/>
      <c r="K241" s="91"/>
      <c r="L241" s="91"/>
      <c r="M241" s="91"/>
    </row>
    <row r="242" spans="2:13" x14ac:dyDescent="0.35">
      <c r="B242" s="91"/>
      <c r="C242" s="64" t="s">
        <v>229</v>
      </c>
      <c r="D242" s="64"/>
      <c r="E242" s="64"/>
      <c r="F242" s="77"/>
      <c r="G242" s="64"/>
      <c r="H242" s="77"/>
      <c r="I242" s="91"/>
      <c r="J242" s="91"/>
      <c r="K242" s="91"/>
      <c r="L242" s="91"/>
      <c r="M242" s="91"/>
    </row>
    <row r="243" spans="2:13" x14ac:dyDescent="0.35">
      <c r="B243" s="91">
        <v>46</v>
      </c>
      <c r="C243" s="64" t="s">
        <v>222</v>
      </c>
      <c r="D243" s="64" t="s">
        <v>112</v>
      </c>
      <c r="E243" s="64" t="s">
        <v>319</v>
      </c>
      <c r="F243" s="64" t="s">
        <v>320</v>
      </c>
      <c r="G243" s="64" t="s">
        <v>321</v>
      </c>
      <c r="H243" s="64" t="s">
        <v>322</v>
      </c>
      <c r="I243" s="91">
        <v>8.84</v>
      </c>
      <c r="J243" s="91" t="s">
        <v>115</v>
      </c>
      <c r="K243" s="91" t="s">
        <v>300</v>
      </c>
      <c r="L243" s="91">
        <v>7</v>
      </c>
      <c r="M243" s="91">
        <v>41</v>
      </c>
    </row>
    <row r="244" spans="2:13" x14ac:dyDescent="0.35">
      <c r="B244" s="91"/>
      <c r="C244" s="64" t="s">
        <v>228</v>
      </c>
      <c r="D244" s="64"/>
      <c r="E244" s="64"/>
      <c r="F244" s="77">
        <v>90.843999999999994</v>
      </c>
      <c r="G244" s="64"/>
      <c r="H244" s="77">
        <v>90.756</v>
      </c>
      <c r="I244" s="91"/>
      <c r="J244" s="91"/>
      <c r="K244" s="91"/>
      <c r="L244" s="91"/>
      <c r="M244" s="91"/>
    </row>
    <row r="245" spans="2:13" x14ac:dyDescent="0.35">
      <c r="B245" s="91"/>
      <c r="C245" s="64" t="s">
        <v>229</v>
      </c>
      <c r="D245" s="64"/>
      <c r="E245" s="64"/>
      <c r="F245" s="77"/>
      <c r="G245" s="64"/>
      <c r="H245" s="77"/>
      <c r="I245" s="91"/>
      <c r="J245" s="91"/>
      <c r="K245" s="91"/>
      <c r="L245" s="91"/>
      <c r="M245" s="91"/>
    </row>
    <row r="246" spans="2:13" x14ac:dyDescent="0.35">
      <c r="B246" s="91">
        <v>47</v>
      </c>
      <c r="C246" s="64" t="s">
        <v>222</v>
      </c>
      <c r="D246" s="64" t="s">
        <v>112</v>
      </c>
      <c r="E246" s="64" t="s">
        <v>321</v>
      </c>
      <c r="F246" s="64" t="s">
        <v>322</v>
      </c>
      <c r="G246" s="64" t="s">
        <v>323</v>
      </c>
      <c r="H246" s="64" t="s">
        <v>324</v>
      </c>
      <c r="I246" s="91">
        <v>3.22</v>
      </c>
      <c r="J246" s="91" t="s">
        <v>115</v>
      </c>
      <c r="K246" s="91" t="s">
        <v>300</v>
      </c>
      <c r="L246" s="91">
        <v>7</v>
      </c>
      <c r="M246" s="91">
        <v>41</v>
      </c>
    </row>
    <row r="247" spans="2:13" x14ac:dyDescent="0.35">
      <c r="B247" s="91"/>
      <c r="C247" s="64" t="s">
        <v>228</v>
      </c>
      <c r="D247" s="64"/>
      <c r="E247" s="64"/>
      <c r="F247" s="77">
        <v>90.756</v>
      </c>
      <c r="G247" s="64"/>
      <c r="H247" s="77">
        <v>90.724000000000004</v>
      </c>
      <c r="I247" s="91"/>
      <c r="J247" s="91"/>
      <c r="K247" s="91"/>
      <c r="L247" s="91"/>
      <c r="M247" s="91"/>
    </row>
    <row r="248" spans="2:13" x14ac:dyDescent="0.35">
      <c r="B248" s="91"/>
      <c r="C248" s="64" t="s">
        <v>229</v>
      </c>
      <c r="D248" s="64"/>
      <c r="E248" s="64"/>
      <c r="F248" s="77"/>
      <c r="G248" s="64"/>
      <c r="H248" s="77"/>
      <c r="I248" s="91"/>
      <c r="J248" s="91"/>
      <c r="K248" s="91"/>
      <c r="L248" s="91"/>
      <c r="M248" s="91"/>
    </row>
    <row r="249" spans="2:13" x14ac:dyDescent="0.35">
      <c r="B249" s="91">
        <v>48</v>
      </c>
      <c r="C249" s="64" t="s">
        <v>222</v>
      </c>
      <c r="D249" s="64" t="s">
        <v>112</v>
      </c>
      <c r="E249" s="64" t="s">
        <v>323</v>
      </c>
      <c r="F249" s="64" t="s">
        <v>324</v>
      </c>
      <c r="G249" s="64" t="s">
        <v>325</v>
      </c>
      <c r="H249" s="64" t="s">
        <v>326</v>
      </c>
      <c r="I249" s="91">
        <v>8.64</v>
      </c>
      <c r="J249" s="91" t="s">
        <v>115</v>
      </c>
      <c r="K249" s="91" t="s">
        <v>300</v>
      </c>
      <c r="L249" s="91">
        <v>7</v>
      </c>
      <c r="M249" s="91">
        <v>41</v>
      </c>
    </row>
    <row r="250" spans="2:13" x14ac:dyDescent="0.35">
      <c r="B250" s="91"/>
      <c r="C250" s="64" t="s">
        <v>228</v>
      </c>
      <c r="D250" s="64"/>
      <c r="E250" s="64"/>
      <c r="F250" s="77">
        <v>90.724000000000004</v>
      </c>
      <c r="G250" s="64"/>
      <c r="H250" s="77">
        <v>90.643000000000001</v>
      </c>
      <c r="I250" s="91"/>
      <c r="J250" s="91"/>
      <c r="K250" s="91"/>
      <c r="L250" s="91"/>
      <c r="M250" s="91"/>
    </row>
    <row r="251" spans="2:13" x14ac:dyDescent="0.35">
      <c r="B251" s="91"/>
      <c r="C251" s="64" t="s">
        <v>229</v>
      </c>
      <c r="D251" s="64"/>
      <c r="E251" s="64"/>
      <c r="F251" s="77"/>
      <c r="G251" s="64"/>
      <c r="H251" s="77"/>
      <c r="I251" s="91"/>
      <c r="J251" s="91"/>
      <c r="K251" s="91"/>
      <c r="L251" s="91"/>
      <c r="M251" s="91"/>
    </row>
    <row r="252" spans="2:13" ht="23" x14ac:dyDescent="0.35">
      <c r="B252" s="91">
        <v>49</v>
      </c>
      <c r="C252" s="64" t="s">
        <v>222</v>
      </c>
      <c r="D252" s="64" t="s">
        <v>112</v>
      </c>
      <c r="E252" s="64" t="s">
        <v>225</v>
      </c>
      <c r="F252" s="64" t="s">
        <v>226</v>
      </c>
      <c r="G252" s="64" t="s">
        <v>327</v>
      </c>
      <c r="H252" s="64" t="s">
        <v>328</v>
      </c>
      <c r="I252" s="91">
        <v>3.22</v>
      </c>
      <c r="J252" s="91" t="s">
        <v>115</v>
      </c>
      <c r="K252" s="91" t="s">
        <v>300</v>
      </c>
      <c r="L252" s="91">
        <v>19</v>
      </c>
      <c r="M252" s="91">
        <v>29</v>
      </c>
    </row>
    <row r="253" spans="2:13" x14ac:dyDescent="0.35">
      <c r="B253" s="91"/>
      <c r="C253" s="64" t="s">
        <v>228</v>
      </c>
      <c r="D253" s="64"/>
      <c r="E253" s="64"/>
      <c r="F253" s="64">
        <v>91.811000000000007</v>
      </c>
      <c r="G253" s="64"/>
      <c r="H253" s="77">
        <v>91.805999999999997</v>
      </c>
      <c r="I253" s="91"/>
      <c r="J253" s="91"/>
      <c r="K253" s="91"/>
      <c r="L253" s="91"/>
      <c r="M253" s="91"/>
    </row>
    <row r="254" spans="2:13" x14ac:dyDescent="0.35">
      <c r="B254" s="91"/>
      <c r="C254" s="64" t="s">
        <v>229</v>
      </c>
      <c r="D254" s="64"/>
      <c r="E254" s="64"/>
      <c r="F254" s="77"/>
      <c r="G254" s="64"/>
      <c r="H254" s="77"/>
      <c r="I254" s="91"/>
      <c r="J254" s="91"/>
      <c r="K254" s="91"/>
      <c r="L254" s="91"/>
      <c r="M254" s="91"/>
    </row>
    <row r="255" spans="2:13" x14ac:dyDescent="0.35">
      <c r="B255" s="91">
        <v>50</v>
      </c>
      <c r="C255" s="64" t="s">
        <v>222</v>
      </c>
      <c r="D255" s="64" t="s">
        <v>112</v>
      </c>
      <c r="E255" s="64" t="s">
        <v>327</v>
      </c>
      <c r="F255" s="64" t="s">
        <v>328</v>
      </c>
      <c r="G255" s="64" t="s">
        <v>329</v>
      </c>
      <c r="H255" s="64" t="s">
        <v>330</v>
      </c>
      <c r="I255" s="91">
        <v>1.6</v>
      </c>
      <c r="J255" s="91" t="s">
        <v>115</v>
      </c>
      <c r="K255" s="91" t="s">
        <v>300</v>
      </c>
      <c r="L255" s="91">
        <v>19</v>
      </c>
      <c r="M255" s="91">
        <v>29</v>
      </c>
    </row>
    <row r="256" spans="2:13" x14ac:dyDescent="0.35">
      <c r="B256" s="91"/>
      <c r="C256" s="64" t="s">
        <v>228</v>
      </c>
      <c r="D256" s="64"/>
      <c r="E256" s="64"/>
      <c r="F256" s="77">
        <v>91.805999999999997</v>
      </c>
      <c r="G256" s="64"/>
      <c r="H256" s="77">
        <v>91.826999999999998</v>
      </c>
      <c r="I256" s="91"/>
      <c r="J256" s="91"/>
      <c r="K256" s="91"/>
      <c r="L256" s="91"/>
      <c r="M256" s="91"/>
    </row>
    <row r="257" spans="2:13" x14ac:dyDescent="0.35">
      <c r="B257" s="91"/>
      <c r="C257" s="64" t="s">
        <v>229</v>
      </c>
      <c r="D257" s="64"/>
      <c r="E257" s="64"/>
      <c r="F257" s="77"/>
      <c r="G257" s="64"/>
      <c r="H257" s="77"/>
      <c r="I257" s="91"/>
      <c r="J257" s="91"/>
      <c r="K257" s="91"/>
      <c r="L257" s="91"/>
      <c r="M257" s="91"/>
    </row>
    <row r="258" spans="2:13" x14ac:dyDescent="0.35">
      <c r="B258" s="91">
        <v>51</v>
      </c>
      <c r="C258" s="64" t="s">
        <v>222</v>
      </c>
      <c r="D258" s="64" t="s">
        <v>112</v>
      </c>
      <c r="E258" s="64" t="s">
        <v>329</v>
      </c>
      <c r="F258" s="64" t="s">
        <v>330</v>
      </c>
      <c r="G258" s="64" t="s">
        <v>331</v>
      </c>
      <c r="H258" s="64" t="s">
        <v>332</v>
      </c>
      <c r="I258" s="91">
        <v>6.03</v>
      </c>
      <c r="J258" s="91" t="s">
        <v>115</v>
      </c>
      <c r="K258" s="91" t="s">
        <v>300</v>
      </c>
      <c r="L258" s="91">
        <v>16</v>
      </c>
      <c r="M258" s="91">
        <v>32</v>
      </c>
    </row>
    <row r="259" spans="2:13" x14ac:dyDescent="0.35">
      <c r="B259" s="91"/>
      <c r="C259" s="64" t="s">
        <v>228</v>
      </c>
      <c r="D259" s="64"/>
      <c r="E259" s="64"/>
      <c r="F259" s="77">
        <v>91.826999999999998</v>
      </c>
      <c r="G259" s="64"/>
      <c r="H259" s="77">
        <v>91.872</v>
      </c>
      <c r="I259" s="91"/>
      <c r="J259" s="91"/>
      <c r="K259" s="91"/>
      <c r="L259" s="91"/>
      <c r="M259" s="91"/>
    </row>
    <row r="260" spans="2:13" x14ac:dyDescent="0.35">
      <c r="B260" s="91"/>
      <c r="C260" s="64" t="s">
        <v>229</v>
      </c>
      <c r="D260" s="64"/>
      <c r="E260" s="64"/>
      <c r="F260" s="77"/>
      <c r="G260" s="64"/>
      <c r="H260" s="77"/>
      <c r="I260" s="91"/>
      <c r="J260" s="91"/>
      <c r="K260" s="91"/>
      <c r="L260" s="91"/>
      <c r="M260" s="91"/>
    </row>
    <row r="261" spans="2:13" x14ac:dyDescent="0.35">
      <c r="B261" s="91">
        <v>52</v>
      </c>
      <c r="C261" s="64" t="s">
        <v>222</v>
      </c>
      <c r="D261" s="64" t="s">
        <v>112</v>
      </c>
      <c r="E261" s="64" t="s">
        <v>331</v>
      </c>
      <c r="F261" s="64" t="s">
        <v>332</v>
      </c>
      <c r="G261" s="64" t="s">
        <v>333</v>
      </c>
      <c r="H261" s="64" t="s">
        <v>334</v>
      </c>
      <c r="I261" s="91">
        <v>5.23</v>
      </c>
      <c r="J261" s="91" t="s">
        <v>115</v>
      </c>
      <c r="K261" s="91" t="s">
        <v>300</v>
      </c>
      <c r="L261" s="91">
        <v>16</v>
      </c>
      <c r="M261" s="91">
        <v>32</v>
      </c>
    </row>
    <row r="262" spans="2:13" x14ac:dyDescent="0.35">
      <c r="B262" s="91"/>
      <c r="C262" s="64" t="s">
        <v>228</v>
      </c>
      <c r="D262" s="64"/>
      <c r="E262" s="64"/>
      <c r="F262" s="77">
        <v>91.872</v>
      </c>
      <c r="G262" s="64"/>
      <c r="H262" s="77">
        <v>91.917000000000002</v>
      </c>
      <c r="I262" s="91"/>
      <c r="J262" s="91"/>
      <c r="K262" s="91"/>
      <c r="L262" s="91"/>
      <c r="M262" s="91"/>
    </row>
    <row r="263" spans="2:13" x14ac:dyDescent="0.35">
      <c r="B263" s="91"/>
      <c r="C263" s="64" t="s">
        <v>229</v>
      </c>
      <c r="D263" s="64"/>
      <c r="E263" s="64"/>
      <c r="F263" s="77"/>
      <c r="G263" s="64"/>
      <c r="H263" s="77"/>
      <c r="I263" s="91"/>
      <c r="J263" s="91"/>
      <c r="K263" s="91"/>
      <c r="L263" s="91"/>
      <c r="M263" s="91"/>
    </row>
    <row r="264" spans="2:13" x14ac:dyDescent="0.35">
      <c r="B264" s="91">
        <v>53</v>
      </c>
      <c r="C264" s="64" t="s">
        <v>222</v>
      </c>
      <c r="D264" s="64" t="s">
        <v>112</v>
      </c>
      <c r="E264" s="64" t="s">
        <v>333</v>
      </c>
      <c r="F264" s="64" t="s">
        <v>334</v>
      </c>
      <c r="G264" s="64" t="s">
        <v>335</v>
      </c>
      <c r="H264" s="64" t="s">
        <v>336</v>
      </c>
      <c r="I264" s="91">
        <v>7.82</v>
      </c>
      <c r="J264" s="91" t="s">
        <v>115</v>
      </c>
      <c r="K264" s="91" t="s">
        <v>300</v>
      </c>
      <c r="L264" s="91">
        <v>16</v>
      </c>
      <c r="M264" s="91">
        <v>32</v>
      </c>
    </row>
    <row r="265" spans="2:13" x14ac:dyDescent="0.35">
      <c r="B265" s="91"/>
      <c r="C265" s="64" t="s">
        <v>228</v>
      </c>
      <c r="D265" s="64"/>
      <c r="E265" s="64"/>
      <c r="F265" s="77">
        <v>91.917000000000002</v>
      </c>
      <c r="G265" s="64"/>
      <c r="H265" s="77">
        <v>91.956999999999994</v>
      </c>
      <c r="I265" s="91"/>
      <c r="J265" s="91"/>
      <c r="K265" s="91"/>
      <c r="L265" s="91"/>
      <c r="M265" s="91"/>
    </row>
    <row r="266" spans="2:13" x14ac:dyDescent="0.35">
      <c r="B266" s="91"/>
      <c r="C266" s="64" t="s">
        <v>229</v>
      </c>
      <c r="D266" s="64"/>
      <c r="E266" s="64"/>
      <c r="F266" s="77"/>
      <c r="G266" s="64"/>
      <c r="H266" s="77"/>
      <c r="I266" s="91"/>
      <c r="J266" s="91"/>
      <c r="K266" s="91"/>
      <c r="L266" s="91"/>
      <c r="M266" s="91"/>
    </row>
    <row r="267" spans="2:13" x14ac:dyDescent="0.35">
      <c r="B267" s="91">
        <v>54</v>
      </c>
      <c r="C267" s="64" t="s">
        <v>222</v>
      </c>
      <c r="D267" s="64" t="s">
        <v>112</v>
      </c>
      <c r="E267" s="64" t="s">
        <v>335</v>
      </c>
      <c r="F267" s="64" t="s">
        <v>336</v>
      </c>
      <c r="G267" s="64" t="s">
        <v>337</v>
      </c>
      <c r="H267" s="64" t="s">
        <v>338</v>
      </c>
      <c r="I267" s="91">
        <v>5.22</v>
      </c>
      <c r="J267" s="91" t="s">
        <v>115</v>
      </c>
      <c r="K267" s="91" t="s">
        <v>300</v>
      </c>
      <c r="L267" s="91">
        <v>16</v>
      </c>
      <c r="M267" s="91">
        <v>32</v>
      </c>
    </row>
    <row r="268" spans="2:13" x14ac:dyDescent="0.35">
      <c r="B268" s="91"/>
      <c r="C268" s="64" t="s">
        <v>228</v>
      </c>
      <c r="D268" s="64"/>
      <c r="E268" s="64"/>
      <c r="F268" s="77">
        <v>91.956999999999994</v>
      </c>
      <c r="G268" s="64"/>
      <c r="H268" s="77">
        <v>91.980999999999995</v>
      </c>
      <c r="I268" s="91"/>
      <c r="J268" s="91"/>
      <c r="K268" s="91"/>
      <c r="L268" s="91"/>
      <c r="M268" s="91"/>
    </row>
    <row r="269" spans="2:13" x14ac:dyDescent="0.35">
      <c r="B269" s="91"/>
      <c r="C269" s="64" t="s">
        <v>229</v>
      </c>
      <c r="D269" s="64"/>
      <c r="E269" s="64"/>
      <c r="F269" s="77"/>
      <c r="G269" s="64"/>
      <c r="H269" s="77"/>
      <c r="I269" s="91"/>
      <c r="J269" s="91"/>
      <c r="K269" s="91"/>
      <c r="L269" s="91"/>
      <c r="M269" s="91"/>
    </row>
    <row r="270" spans="2:13" x14ac:dyDescent="0.35">
      <c r="B270" s="91">
        <v>55</v>
      </c>
      <c r="C270" s="64" t="s">
        <v>222</v>
      </c>
      <c r="D270" s="64" t="s">
        <v>112</v>
      </c>
      <c r="E270" s="64" t="s">
        <v>337</v>
      </c>
      <c r="F270" s="64" t="s">
        <v>338</v>
      </c>
      <c r="G270" s="64" t="s">
        <v>339</v>
      </c>
      <c r="H270" s="64" t="s">
        <v>340</v>
      </c>
      <c r="I270" s="91">
        <v>7.64</v>
      </c>
      <c r="J270" s="91" t="s">
        <v>115</v>
      </c>
      <c r="K270" s="91" t="s">
        <v>300</v>
      </c>
      <c r="L270" s="91">
        <v>16</v>
      </c>
      <c r="M270" s="91">
        <v>32</v>
      </c>
    </row>
    <row r="271" spans="2:13" x14ac:dyDescent="0.35">
      <c r="B271" s="91"/>
      <c r="C271" s="64" t="s">
        <v>228</v>
      </c>
      <c r="D271" s="64"/>
      <c r="E271" s="64"/>
      <c r="F271" s="77">
        <v>91.980999999999995</v>
      </c>
      <c r="G271" s="64"/>
      <c r="H271" s="77">
        <v>92.028000000000006</v>
      </c>
      <c r="I271" s="91"/>
      <c r="J271" s="91"/>
      <c r="K271" s="91"/>
      <c r="L271" s="91"/>
      <c r="M271" s="91"/>
    </row>
    <row r="272" spans="2:13" x14ac:dyDescent="0.35">
      <c r="B272" s="91"/>
      <c r="C272" s="64" t="s">
        <v>229</v>
      </c>
      <c r="D272" s="64"/>
      <c r="E272" s="64"/>
      <c r="F272" s="77"/>
      <c r="G272" s="64"/>
      <c r="H272" s="77"/>
      <c r="I272" s="91"/>
      <c r="J272" s="91"/>
      <c r="K272" s="91"/>
      <c r="L272" s="91"/>
      <c r="M272" s="91"/>
    </row>
    <row r="273" spans="2:13" x14ac:dyDescent="0.35">
      <c r="B273" s="91">
        <v>56</v>
      </c>
      <c r="C273" s="64" t="s">
        <v>222</v>
      </c>
      <c r="D273" s="64" t="s">
        <v>112</v>
      </c>
      <c r="E273" s="64" t="s">
        <v>339</v>
      </c>
      <c r="F273" s="64" t="s">
        <v>340</v>
      </c>
      <c r="G273" s="64" t="s">
        <v>341</v>
      </c>
      <c r="H273" s="64" t="s">
        <v>342</v>
      </c>
      <c r="I273" s="91">
        <v>8.85</v>
      </c>
      <c r="J273" s="91" t="s">
        <v>115</v>
      </c>
      <c r="K273" s="91" t="s">
        <v>300</v>
      </c>
      <c r="L273" s="91">
        <v>16</v>
      </c>
      <c r="M273" s="91">
        <v>32</v>
      </c>
    </row>
    <row r="274" spans="2:13" x14ac:dyDescent="0.35">
      <c r="B274" s="91"/>
      <c r="C274" s="64" t="s">
        <v>228</v>
      </c>
      <c r="D274" s="64"/>
      <c r="E274" s="64"/>
      <c r="F274" s="77">
        <v>92.028000000000006</v>
      </c>
      <c r="G274" s="64"/>
      <c r="H274" s="77">
        <v>91.066000000000003</v>
      </c>
      <c r="I274" s="91"/>
      <c r="J274" s="91"/>
      <c r="K274" s="91"/>
      <c r="L274" s="91"/>
      <c r="M274" s="91"/>
    </row>
    <row r="275" spans="2:13" x14ac:dyDescent="0.35">
      <c r="B275" s="91"/>
      <c r="C275" s="64" t="s">
        <v>229</v>
      </c>
      <c r="D275" s="64"/>
      <c r="E275" s="64"/>
      <c r="F275" s="77"/>
      <c r="G275" s="64"/>
      <c r="H275" s="77"/>
      <c r="I275" s="91"/>
      <c r="J275" s="91"/>
      <c r="K275" s="91"/>
      <c r="L275" s="91"/>
      <c r="M275" s="91"/>
    </row>
    <row r="276" spans="2:13" x14ac:dyDescent="0.35">
      <c r="B276" s="91">
        <v>57</v>
      </c>
      <c r="C276" s="64" t="s">
        <v>222</v>
      </c>
      <c r="D276" s="64" t="s">
        <v>112</v>
      </c>
      <c r="E276" s="64" t="s">
        <v>341</v>
      </c>
      <c r="F276" s="64" t="s">
        <v>342</v>
      </c>
      <c r="G276" s="64" t="s">
        <v>343</v>
      </c>
      <c r="H276" s="64" t="s">
        <v>344</v>
      </c>
      <c r="I276" s="91">
        <v>9.5</v>
      </c>
      <c r="J276" s="91" t="s">
        <v>115</v>
      </c>
      <c r="K276" s="91" t="s">
        <v>275</v>
      </c>
      <c r="L276" s="91">
        <v>17</v>
      </c>
      <c r="M276" s="91">
        <v>79</v>
      </c>
    </row>
    <row r="277" spans="2:13" x14ac:dyDescent="0.35">
      <c r="B277" s="91"/>
      <c r="C277" s="64" t="s">
        <v>228</v>
      </c>
      <c r="D277" s="64"/>
      <c r="E277" s="64"/>
      <c r="F277" s="77">
        <v>91.066000000000003</v>
      </c>
      <c r="G277" s="64"/>
      <c r="H277" s="77">
        <v>92.058999999999997</v>
      </c>
      <c r="I277" s="91"/>
      <c r="J277" s="91"/>
      <c r="K277" s="91"/>
      <c r="L277" s="91"/>
      <c r="M277" s="91"/>
    </row>
    <row r="278" spans="2:13" x14ac:dyDescent="0.35">
      <c r="B278" s="91"/>
      <c r="C278" s="64" t="s">
        <v>229</v>
      </c>
      <c r="D278" s="64"/>
      <c r="E278" s="64"/>
      <c r="F278" s="77"/>
      <c r="G278" s="64"/>
      <c r="H278" s="77"/>
      <c r="I278" s="91"/>
      <c r="J278" s="91"/>
      <c r="K278" s="91"/>
      <c r="L278" s="91"/>
      <c r="M278" s="91"/>
    </row>
    <row r="279" spans="2:13" x14ac:dyDescent="0.35">
      <c r="B279" s="91">
        <v>58</v>
      </c>
      <c r="C279" s="64" t="s">
        <v>222</v>
      </c>
      <c r="D279" s="64" t="s">
        <v>112</v>
      </c>
      <c r="E279" s="64" t="s">
        <v>343</v>
      </c>
      <c r="F279" s="64" t="s">
        <v>344</v>
      </c>
      <c r="G279" s="64" t="s">
        <v>345</v>
      </c>
      <c r="H279" s="64" t="s">
        <v>346</v>
      </c>
      <c r="I279" s="91">
        <v>12.74</v>
      </c>
      <c r="J279" s="91" t="s">
        <v>115</v>
      </c>
      <c r="K279" s="91" t="s">
        <v>275</v>
      </c>
      <c r="L279" s="91">
        <v>17</v>
      </c>
      <c r="M279" s="91">
        <v>79</v>
      </c>
    </row>
    <row r="280" spans="2:13" x14ac:dyDescent="0.35">
      <c r="B280" s="91"/>
      <c r="C280" s="64" t="s">
        <v>228</v>
      </c>
      <c r="D280" s="64"/>
      <c r="E280" s="64"/>
      <c r="F280" s="77">
        <v>92.058999999999997</v>
      </c>
      <c r="G280" s="64"/>
      <c r="H280" s="77">
        <v>92.070999999999998</v>
      </c>
      <c r="I280" s="91"/>
      <c r="J280" s="91"/>
      <c r="K280" s="91"/>
      <c r="L280" s="91"/>
      <c r="M280" s="91"/>
    </row>
    <row r="281" spans="2:13" x14ac:dyDescent="0.35">
      <c r="B281" s="91"/>
      <c r="C281" s="64" t="s">
        <v>229</v>
      </c>
      <c r="D281" s="64"/>
      <c r="E281" s="64"/>
      <c r="F281" s="77"/>
      <c r="G281" s="64"/>
      <c r="H281" s="77"/>
      <c r="I281" s="91"/>
      <c r="J281" s="91"/>
      <c r="K281" s="91"/>
      <c r="L281" s="91"/>
      <c r="M281" s="91"/>
    </row>
    <row r="282" spans="2:13" x14ac:dyDescent="0.35">
      <c r="B282" s="91">
        <v>59</v>
      </c>
      <c r="C282" s="64" t="s">
        <v>222</v>
      </c>
      <c r="D282" s="64" t="s">
        <v>112</v>
      </c>
      <c r="E282" s="64" t="s">
        <v>345</v>
      </c>
      <c r="F282" s="64" t="s">
        <v>346</v>
      </c>
      <c r="G282" s="64" t="s">
        <v>347</v>
      </c>
      <c r="H282" s="64" t="s">
        <v>348</v>
      </c>
      <c r="I282" s="91">
        <v>15.96</v>
      </c>
      <c r="J282" s="91" t="s">
        <v>115</v>
      </c>
      <c r="K282" s="91" t="s">
        <v>275</v>
      </c>
      <c r="L282" s="91">
        <v>17</v>
      </c>
      <c r="M282" s="91">
        <v>79</v>
      </c>
    </row>
    <row r="283" spans="2:13" x14ac:dyDescent="0.35">
      <c r="B283" s="91"/>
      <c r="C283" s="64" t="s">
        <v>228</v>
      </c>
      <c r="D283" s="64"/>
      <c r="E283" s="64"/>
      <c r="F283" s="77">
        <v>92.070999999999998</v>
      </c>
      <c r="G283" s="64"/>
      <c r="H283" s="77">
        <v>92.043999999999997</v>
      </c>
      <c r="I283" s="91"/>
      <c r="J283" s="91"/>
      <c r="K283" s="91"/>
      <c r="L283" s="91"/>
      <c r="M283" s="91"/>
    </row>
    <row r="284" spans="2:13" x14ac:dyDescent="0.35">
      <c r="B284" s="91"/>
      <c r="C284" s="64" t="s">
        <v>229</v>
      </c>
      <c r="D284" s="64"/>
      <c r="E284" s="64"/>
      <c r="F284" s="77"/>
      <c r="G284" s="64"/>
      <c r="H284" s="77"/>
      <c r="I284" s="91"/>
      <c r="J284" s="91"/>
      <c r="K284" s="91"/>
      <c r="L284" s="91"/>
      <c r="M284" s="91"/>
    </row>
    <row r="285" spans="2:13" x14ac:dyDescent="0.35">
      <c r="B285" s="91">
        <v>60</v>
      </c>
      <c r="C285" s="64" t="s">
        <v>222</v>
      </c>
      <c r="D285" s="64" t="s">
        <v>112</v>
      </c>
      <c r="E285" s="64" t="s">
        <v>347</v>
      </c>
      <c r="F285" s="64" t="s">
        <v>348</v>
      </c>
      <c r="G285" s="64" t="s">
        <v>349</v>
      </c>
      <c r="H285" s="64" t="s">
        <v>350</v>
      </c>
      <c r="I285" s="91">
        <v>11.51</v>
      </c>
      <c r="J285" s="91" t="s">
        <v>115</v>
      </c>
      <c r="K285" s="91" t="s">
        <v>275</v>
      </c>
      <c r="L285" s="91">
        <v>17</v>
      </c>
      <c r="M285" s="91">
        <v>79</v>
      </c>
    </row>
    <row r="286" spans="2:13" x14ac:dyDescent="0.35">
      <c r="B286" s="91"/>
      <c r="C286" s="64" t="s">
        <v>228</v>
      </c>
      <c r="D286" s="64"/>
      <c r="E286" s="64"/>
      <c r="F286" s="77">
        <v>92.043999999999997</v>
      </c>
      <c r="G286" s="64"/>
      <c r="H286" s="77">
        <v>92.042000000000002</v>
      </c>
      <c r="I286" s="91"/>
      <c r="J286" s="91"/>
      <c r="K286" s="91"/>
      <c r="L286" s="91"/>
      <c r="M286" s="91"/>
    </row>
    <row r="287" spans="2:13" x14ac:dyDescent="0.35">
      <c r="B287" s="91"/>
      <c r="C287" s="64" t="s">
        <v>229</v>
      </c>
      <c r="D287" s="64"/>
      <c r="E287" s="64"/>
      <c r="F287" s="77"/>
      <c r="G287" s="64"/>
      <c r="H287" s="77"/>
      <c r="I287" s="91"/>
      <c r="J287" s="91"/>
      <c r="K287" s="91"/>
      <c r="L287" s="91"/>
      <c r="M287" s="91"/>
    </row>
    <row r="288" spans="2:13" x14ac:dyDescent="0.35">
      <c r="B288" s="91">
        <v>61</v>
      </c>
      <c r="C288" s="64" t="s">
        <v>222</v>
      </c>
      <c r="D288" s="64" t="s">
        <v>112</v>
      </c>
      <c r="E288" s="64" t="s">
        <v>349</v>
      </c>
      <c r="F288" s="64" t="s">
        <v>350</v>
      </c>
      <c r="G288" s="64" t="s">
        <v>351</v>
      </c>
      <c r="H288" s="64" t="s">
        <v>352</v>
      </c>
      <c r="I288" s="91">
        <v>10.65</v>
      </c>
      <c r="J288" s="91" t="s">
        <v>115</v>
      </c>
      <c r="K288" s="91" t="s">
        <v>275</v>
      </c>
      <c r="L288" s="91">
        <v>17</v>
      </c>
      <c r="M288" s="91">
        <v>79</v>
      </c>
    </row>
    <row r="289" spans="2:13" x14ac:dyDescent="0.35">
      <c r="B289" s="91"/>
      <c r="C289" s="64" t="s">
        <v>228</v>
      </c>
      <c r="D289" s="64"/>
      <c r="E289" s="64"/>
      <c r="F289" s="77">
        <v>92.042000000000002</v>
      </c>
      <c r="G289" s="64"/>
      <c r="H289" s="77">
        <v>92.072999999999993</v>
      </c>
      <c r="I289" s="91"/>
      <c r="J289" s="91"/>
      <c r="K289" s="91"/>
      <c r="L289" s="91"/>
      <c r="M289" s="91"/>
    </row>
    <row r="290" spans="2:13" x14ac:dyDescent="0.35">
      <c r="B290" s="91"/>
      <c r="C290" s="64" t="s">
        <v>229</v>
      </c>
      <c r="D290" s="64"/>
      <c r="E290" s="64"/>
      <c r="F290" s="77"/>
      <c r="G290" s="64"/>
      <c r="H290" s="77"/>
      <c r="I290" s="91"/>
      <c r="J290" s="91"/>
      <c r="K290" s="91"/>
      <c r="L290" s="91"/>
      <c r="M290" s="91"/>
    </row>
    <row r="291" spans="2:13" x14ac:dyDescent="0.35">
      <c r="B291" s="91">
        <v>62</v>
      </c>
      <c r="C291" s="64" t="s">
        <v>222</v>
      </c>
      <c r="D291" s="64" t="s">
        <v>112</v>
      </c>
      <c r="E291" s="64" t="s">
        <v>351</v>
      </c>
      <c r="F291" s="64" t="s">
        <v>352</v>
      </c>
      <c r="G291" s="64" t="s">
        <v>353</v>
      </c>
      <c r="H291" s="64" t="s">
        <v>354</v>
      </c>
      <c r="I291" s="91">
        <v>12.84</v>
      </c>
      <c r="J291" s="91" t="s">
        <v>115</v>
      </c>
      <c r="K291" s="91" t="s">
        <v>275</v>
      </c>
      <c r="L291" s="91">
        <v>17</v>
      </c>
      <c r="M291" s="91">
        <v>79</v>
      </c>
    </row>
    <row r="292" spans="2:13" x14ac:dyDescent="0.35">
      <c r="B292" s="91"/>
      <c r="C292" s="64" t="s">
        <v>228</v>
      </c>
      <c r="D292" s="64"/>
      <c r="E292" s="64"/>
      <c r="F292" s="77">
        <v>92.072999999999993</v>
      </c>
      <c r="G292" s="64"/>
      <c r="H292" s="77">
        <v>92.052999999999997</v>
      </c>
      <c r="I292" s="91"/>
      <c r="J292" s="91"/>
      <c r="K292" s="91"/>
      <c r="L292" s="91"/>
      <c r="M292" s="91"/>
    </row>
    <row r="293" spans="2:13" x14ac:dyDescent="0.35">
      <c r="B293" s="91"/>
      <c r="C293" s="64" t="s">
        <v>229</v>
      </c>
      <c r="D293" s="64"/>
      <c r="E293" s="64"/>
      <c r="F293" s="77"/>
      <c r="G293" s="64"/>
      <c r="H293" s="77"/>
      <c r="I293" s="91"/>
      <c r="J293" s="91"/>
      <c r="K293" s="91"/>
      <c r="L293" s="91"/>
      <c r="M293" s="91"/>
    </row>
    <row r="294" spans="2:13" x14ac:dyDescent="0.35">
      <c r="B294" s="91">
        <v>63</v>
      </c>
      <c r="C294" s="64" t="s">
        <v>222</v>
      </c>
      <c r="D294" s="64" t="s">
        <v>112</v>
      </c>
      <c r="E294" s="64" t="s">
        <v>353</v>
      </c>
      <c r="F294" s="64" t="s">
        <v>354</v>
      </c>
      <c r="G294" s="64" t="s">
        <v>355</v>
      </c>
      <c r="H294" s="64" t="s">
        <v>356</v>
      </c>
      <c r="I294" s="91">
        <v>16.670000000000002</v>
      </c>
      <c r="J294" s="91" t="s">
        <v>115</v>
      </c>
      <c r="K294" s="91" t="s">
        <v>275</v>
      </c>
      <c r="L294" s="91">
        <v>17</v>
      </c>
      <c r="M294" s="91">
        <v>79</v>
      </c>
    </row>
    <row r="295" spans="2:13" x14ac:dyDescent="0.35">
      <c r="B295" s="91"/>
      <c r="C295" s="64" t="s">
        <v>228</v>
      </c>
      <c r="D295" s="64"/>
      <c r="E295" s="64"/>
      <c r="F295" s="77">
        <v>92.052999999999997</v>
      </c>
      <c r="G295" s="64"/>
      <c r="H295" s="77">
        <v>92.094999999999999</v>
      </c>
      <c r="I295" s="91"/>
      <c r="J295" s="91"/>
      <c r="K295" s="91"/>
      <c r="L295" s="91"/>
      <c r="M295" s="91"/>
    </row>
    <row r="296" spans="2:13" x14ac:dyDescent="0.35">
      <c r="B296" s="91"/>
      <c r="C296" s="64" t="s">
        <v>229</v>
      </c>
      <c r="D296" s="64"/>
      <c r="E296" s="64"/>
      <c r="F296" s="77"/>
      <c r="G296" s="64"/>
      <c r="H296" s="77"/>
      <c r="I296" s="91"/>
      <c r="J296" s="91"/>
      <c r="K296" s="91"/>
      <c r="L296" s="91"/>
      <c r="M296" s="91"/>
    </row>
    <row r="297" spans="2:13" x14ac:dyDescent="0.35">
      <c r="B297" s="91">
        <v>64</v>
      </c>
      <c r="C297" s="64" t="s">
        <v>222</v>
      </c>
      <c r="D297" s="64" t="s">
        <v>112</v>
      </c>
      <c r="E297" s="64" t="s">
        <v>355</v>
      </c>
      <c r="F297" s="64" t="s">
        <v>356</v>
      </c>
      <c r="G297" s="64" t="s">
        <v>357</v>
      </c>
      <c r="H297" s="64" t="s">
        <v>358</v>
      </c>
      <c r="I297" s="91">
        <v>11</v>
      </c>
      <c r="J297" s="91" t="s">
        <v>115</v>
      </c>
      <c r="K297" s="91" t="s">
        <v>275</v>
      </c>
      <c r="L297" s="91">
        <v>17</v>
      </c>
      <c r="M297" s="91">
        <v>79</v>
      </c>
    </row>
    <row r="298" spans="2:13" x14ac:dyDescent="0.35">
      <c r="B298" s="91"/>
      <c r="C298" s="64" t="s">
        <v>228</v>
      </c>
      <c r="D298" s="64"/>
      <c r="E298" s="64"/>
      <c r="F298" s="77">
        <v>92.094999999999999</v>
      </c>
      <c r="G298" s="64"/>
      <c r="H298" s="77">
        <v>92.013999999999996</v>
      </c>
      <c r="I298" s="91"/>
      <c r="J298" s="91"/>
      <c r="K298" s="91"/>
      <c r="L298" s="91"/>
      <c r="M298" s="91"/>
    </row>
    <row r="299" spans="2:13" x14ac:dyDescent="0.35">
      <c r="B299" s="91"/>
      <c r="C299" s="64" t="s">
        <v>229</v>
      </c>
      <c r="D299" s="64"/>
      <c r="E299" s="64"/>
      <c r="F299" s="77"/>
      <c r="G299" s="64"/>
      <c r="H299" s="77"/>
      <c r="I299" s="91"/>
      <c r="J299" s="91"/>
      <c r="K299" s="91"/>
      <c r="L299" s="91"/>
      <c r="M299" s="91"/>
    </row>
    <row r="300" spans="2:13" ht="23" x14ac:dyDescent="0.35">
      <c r="B300" s="91">
        <v>65</v>
      </c>
      <c r="C300" s="64" t="s">
        <v>222</v>
      </c>
      <c r="D300" s="64" t="s">
        <v>112</v>
      </c>
      <c r="E300" s="64" t="s">
        <v>329</v>
      </c>
      <c r="F300" s="64" t="s">
        <v>330</v>
      </c>
      <c r="G300" s="64" t="s">
        <v>359</v>
      </c>
      <c r="H300" s="64" t="s">
        <v>360</v>
      </c>
      <c r="I300" s="91">
        <v>6.34</v>
      </c>
      <c r="J300" s="91" t="s">
        <v>115</v>
      </c>
      <c r="K300" s="91" t="s">
        <v>300</v>
      </c>
      <c r="L300" s="91">
        <v>5</v>
      </c>
      <c r="M300" s="91">
        <v>43</v>
      </c>
    </row>
    <row r="301" spans="2:13" x14ac:dyDescent="0.35">
      <c r="B301" s="91"/>
      <c r="C301" s="64" t="s">
        <v>228</v>
      </c>
      <c r="D301" s="64"/>
      <c r="E301" s="64"/>
      <c r="F301" s="77">
        <v>91.826999999999998</v>
      </c>
      <c r="G301" s="64"/>
      <c r="H301" s="77">
        <v>91.813000000000002</v>
      </c>
      <c r="I301" s="91"/>
      <c r="J301" s="91"/>
      <c r="K301" s="91"/>
      <c r="L301" s="91"/>
      <c r="M301" s="91"/>
    </row>
    <row r="302" spans="2:13" x14ac:dyDescent="0.35">
      <c r="B302" s="91"/>
      <c r="C302" s="64" t="s">
        <v>229</v>
      </c>
      <c r="D302" s="64"/>
      <c r="E302" s="64"/>
      <c r="F302" s="77"/>
      <c r="G302" s="64"/>
      <c r="H302" s="77"/>
      <c r="I302" s="91"/>
      <c r="J302" s="91"/>
      <c r="K302" s="91"/>
      <c r="L302" s="91"/>
      <c r="M302" s="91"/>
    </row>
    <row r="303" spans="2:13" x14ac:dyDescent="0.35">
      <c r="B303" s="91">
        <v>66</v>
      </c>
      <c r="C303" s="64" t="s">
        <v>222</v>
      </c>
      <c r="D303" s="64" t="s">
        <v>112</v>
      </c>
      <c r="E303" s="64" t="s">
        <v>359</v>
      </c>
      <c r="F303" s="64" t="s">
        <v>360</v>
      </c>
      <c r="G303" s="64" t="s">
        <v>361</v>
      </c>
      <c r="H303" s="64" t="s">
        <v>362</v>
      </c>
      <c r="I303" s="91">
        <v>4.9000000000000004</v>
      </c>
      <c r="J303" s="91" t="s">
        <v>115</v>
      </c>
      <c r="K303" s="91" t="s">
        <v>300</v>
      </c>
      <c r="L303" s="91">
        <v>5</v>
      </c>
      <c r="M303" s="91">
        <v>43</v>
      </c>
    </row>
    <row r="304" spans="2:13" x14ac:dyDescent="0.35">
      <c r="B304" s="91"/>
      <c r="C304" s="64" t="s">
        <v>228</v>
      </c>
      <c r="D304" s="64"/>
      <c r="E304" s="64"/>
      <c r="F304" s="77">
        <v>91.813000000000002</v>
      </c>
      <c r="G304" s="64"/>
      <c r="H304" s="77">
        <v>91.811000000000007</v>
      </c>
      <c r="I304" s="91"/>
      <c r="J304" s="91"/>
      <c r="K304" s="91"/>
      <c r="L304" s="91"/>
      <c r="M304" s="91"/>
    </row>
    <row r="305" spans="2:13" x14ac:dyDescent="0.35">
      <c r="B305" s="91"/>
      <c r="C305" s="64" t="s">
        <v>229</v>
      </c>
      <c r="D305" s="64"/>
      <c r="E305" s="64"/>
      <c r="F305" s="77"/>
      <c r="G305" s="64"/>
      <c r="H305" s="77"/>
      <c r="I305" s="91"/>
      <c r="J305" s="91"/>
      <c r="K305" s="91"/>
      <c r="L305" s="91"/>
      <c r="M305" s="91"/>
    </row>
    <row r="306" spans="2:13" ht="23" x14ac:dyDescent="0.35">
      <c r="B306" s="91">
        <v>67</v>
      </c>
      <c r="C306" s="64" t="s">
        <v>222</v>
      </c>
      <c r="D306" s="64" t="s">
        <v>112</v>
      </c>
      <c r="E306" s="64" t="s">
        <v>361</v>
      </c>
      <c r="F306" s="64" t="s">
        <v>362</v>
      </c>
      <c r="G306" s="64" t="s">
        <v>363</v>
      </c>
      <c r="H306" s="64" t="s">
        <v>364</v>
      </c>
      <c r="I306" s="91">
        <v>2.4500000000000002</v>
      </c>
      <c r="J306" s="91" t="s">
        <v>115</v>
      </c>
      <c r="K306" s="91" t="s">
        <v>300</v>
      </c>
      <c r="L306" s="91">
        <v>1</v>
      </c>
      <c r="M306" s="91">
        <v>47</v>
      </c>
    </row>
    <row r="307" spans="2:13" x14ac:dyDescent="0.35">
      <c r="B307" s="91"/>
      <c r="C307" s="64" t="s">
        <v>228</v>
      </c>
      <c r="D307" s="64"/>
      <c r="E307" s="64"/>
      <c r="F307" s="77">
        <v>91.811000000000007</v>
      </c>
      <c r="G307" s="64"/>
      <c r="H307" s="77">
        <v>91.894000000000005</v>
      </c>
      <c r="I307" s="91"/>
      <c r="J307" s="91"/>
      <c r="K307" s="91"/>
      <c r="L307" s="91"/>
      <c r="M307" s="91"/>
    </row>
    <row r="308" spans="2:13" x14ac:dyDescent="0.35">
      <c r="B308" s="91"/>
      <c r="C308" s="64" t="s">
        <v>229</v>
      </c>
      <c r="D308" s="64"/>
      <c r="E308" s="64"/>
      <c r="F308" s="77"/>
      <c r="G308" s="64"/>
      <c r="H308" s="77"/>
      <c r="I308" s="91"/>
      <c r="J308" s="91"/>
      <c r="K308" s="91"/>
      <c r="L308" s="91"/>
      <c r="M308" s="91"/>
    </row>
    <row r="309" spans="2:13" x14ac:dyDescent="0.35">
      <c r="B309" s="91">
        <v>68</v>
      </c>
      <c r="C309" s="64" t="s">
        <v>222</v>
      </c>
      <c r="D309" s="64" t="s">
        <v>112</v>
      </c>
      <c r="E309" s="64" t="s">
        <v>361</v>
      </c>
      <c r="F309" s="64" t="s">
        <v>362</v>
      </c>
      <c r="G309" s="64" t="s">
        <v>365</v>
      </c>
      <c r="H309" s="64" t="s">
        <v>366</v>
      </c>
      <c r="I309" s="91">
        <v>5.2</v>
      </c>
      <c r="J309" s="91" t="s">
        <v>115</v>
      </c>
      <c r="K309" s="91" t="s">
        <v>300</v>
      </c>
      <c r="L309" s="91">
        <v>4</v>
      </c>
      <c r="M309" s="91">
        <v>44</v>
      </c>
    </row>
    <row r="310" spans="2:13" x14ac:dyDescent="0.35">
      <c r="B310" s="91"/>
      <c r="C310" s="64" t="s">
        <v>228</v>
      </c>
      <c r="D310" s="64"/>
      <c r="E310" s="64"/>
      <c r="F310" s="77">
        <v>91.811000000000007</v>
      </c>
      <c r="G310" s="64"/>
      <c r="H310" s="77">
        <v>91.804000000000002</v>
      </c>
      <c r="I310" s="91"/>
      <c r="J310" s="91"/>
      <c r="K310" s="91"/>
      <c r="L310" s="91"/>
      <c r="M310" s="91"/>
    </row>
    <row r="311" spans="2:13" x14ac:dyDescent="0.35">
      <c r="B311" s="91"/>
      <c r="C311" s="64" t="s">
        <v>229</v>
      </c>
      <c r="D311" s="64"/>
      <c r="E311" s="64"/>
      <c r="F311" s="77"/>
      <c r="G311" s="64"/>
      <c r="H311" s="77"/>
      <c r="I311" s="91"/>
      <c r="J311" s="91"/>
      <c r="K311" s="91"/>
      <c r="L311" s="91"/>
      <c r="M311" s="91"/>
    </row>
    <row r="312" spans="2:13" x14ac:dyDescent="0.35">
      <c r="B312" s="91">
        <v>69</v>
      </c>
      <c r="C312" s="64" t="s">
        <v>222</v>
      </c>
      <c r="D312" s="64" t="s">
        <v>112</v>
      </c>
      <c r="E312" s="64" t="s">
        <v>365</v>
      </c>
      <c r="F312" s="64" t="s">
        <v>366</v>
      </c>
      <c r="G312" s="64" t="s">
        <v>367</v>
      </c>
      <c r="H312" s="64" t="s">
        <v>368</v>
      </c>
      <c r="I312" s="91">
        <v>5.6</v>
      </c>
      <c r="J312" s="91" t="s">
        <v>115</v>
      </c>
      <c r="K312" s="91" t="s">
        <v>300</v>
      </c>
      <c r="L312" s="91">
        <v>4</v>
      </c>
      <c r="M312" s="91">
        <v>44</v>
      </c>
    </row>
    <row r="313" spans="2:13" x14ac:dyDescent="0.35">
      <c r="B313" s="91"/>
      <c r="C313" s="64" t="s">
        <v>228</v>
      </c>
      <c r="D313" s="64"/>
      <c r="E313" s="64"/>
      <c r="F313" s="77">
        <v>91.804000000000002</v>
      </c>
      <c r="G313" s="64"/>
      <c r="H313" s="77">
        <v>91.79</v>
      </c>
      <c r="I313" s="91"/>
      <c r="J313" s="91"/>
      <c r="K313" s="91"/>
      <c r="L313" s="91"/>
      <c r="M313" s="91"/>
    </row>
    <row r="314" spans="2:13" x14ac:dyDescent="0.35">
      <c r="B314" s="91"/>
      <c r="C314" s="64" t="s">
        <v>229</v>
      </c>
      <c r="D314" s="64"/>
      <c r="E314" s="64"/>
      <c r="F314" s="77"/>
      <c r="G314" s="64"/>
      <c r="H314" s="77"/>
      <c r="I314" s="91"/>
      <c r="J314" s="91"/>
      <c r="K314" s="91"/>
      <c r="L314" s="91"/>
      <c r="M314" s="91"/>
    </row>
    <row r="315" spans="2:13" x14ac:dyDescent="0.35">
      <c r="B315" s="91">
        <v>70</v>
      </c>
      <c r="C315" s="64" t="s">
        <v>222</v>
      </c>
      <c r="D315" s="64" t="s">
        <v>112</v>
      </c>
      <c r="E315" s="64" t="s">
        <v>367</v>
      </c>
      <c r="F315" s="64" t="s">
        <v>368</v>
      </c>
      <c r="G315" s="64" t="s">
        <v>369</v>
      </c>
      <c r="H315" s="64" t="s">
        <v>370</v>
      </c>
      <c r="I315" s="91">
        <v>8.5</v>
      </c>
      <c r="J315" s="91" t="s">
        <v>115</v>
      </c>
      <c r="K315" s="91" t="s">
        <v>300</v>
      </c>
      <c r="L315" s="91">
        <v>4</v>
      </c>
      <c r="M315" s="91">
        <v>44</v>
      </c>
    </row>
    <row r="316" spans="2:13" x14ac:dyDescent="0.35">
      <c r="B316" s="91"/>
      <c r="C316" s="64" t="s">
        <v>228</v>
      </c>
      <c r="D316" s="64"/>
      <c r="E316" s="64"/>
      <c r="F316" s="77">
        <v>91.79</v>
      </c>
      <c r="G316" s="64"/>
      <c r="H316" s="77">
        <v>91.787999999999997</v>
      </c>
      <c r="I316" s="91"/>
      <c r="J316" s="91"/>
      <c r="K316" s="91"/>
      <c r="L316" s="91"/>
      <c r="M316" s="91"/>
    </row>
    <row r="317" spans="2:13" x14ac:dyDescent="0.35">
      <c r="B317" s="91"/>
      <c r="C317" s="64" t="s">
        <v>229</v>
      </c>
      <c r="D317" s="64"/>
      <c r="E317" s="64"/>
      <c r="F317" s="77"/>
      <c r="G317" s="64"/>
      <c r="H317" s="77"/>
      <c r="I317" s="91"/>
      <c r="J317" s="91"/>
      <c r="K317" s="91"/>
      <c r="L317" s="91"/>
      <c r="M317" s="91"/>
    </row>
    <row r="318" spans="2:13" x14ac:dyDescent="0.35"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</row>
    <row r="319" spans="2:13" x14ac:dyDescent="0.35"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</row>
    <row r="320" spans="2:13" x14ac:dyDescent="0.35"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</row>
    <row r="321" spans="2:13" x14ac:dyDescent="0.35"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</row>
    <row r="322" spans="2:13" x14ac:dyDescent="0.35"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</row>
    <row r="323" spans="2:13" ht="23" x14ac:dyDescent="0.35">
      <c r="B323" s="96" t="s">
        <v>209</v>
      </c>
      <c r="C323" s="94" t="s">
        <v>210</v>
      </c>
      <c r="D323" s="72" t="s">
        <v>211</v>
      </c>
      <c r="E323" s="72" t="s">
        <v>212</v>
      </c>
      <c r="F323" s="72" t="s">
        <v>213</v>
      </c>
      <c r="G323" s="72" t="s">
        <v>212</v>
      </c>
      <c r="H323" s="72" t="s">
        <v>213</v>
      </c>
      <c r="I323" s="94" t="s">
        <v>214</v>
      </c>
      <c r="J323" s="96" t="s">
        <v>215</v>
      </c>
      <c r="K323" s="94" t="s">
        <v>216</v>
      </c>
      <c r="L323" s="72" t="s">
        <v>217</v>
      </c>
      <c r="M323" s="72" t="s">
        <v>218</v>
      </c>
    </row>
    <row r="324" spans="2:13" x14ac:dyDescent="0.35">
      <c r="B324" s="96"/>
      <c r="C324" s="94"/>
      <c r="D324" s="72"/>
      <c r="E324" s="72" t="s">
        <v>219</v>
      </c>
      <c r="F324" s="72" t="s">
        <v>6</v>
      </c>
      <c r="G324" s="72" t="s">
        <v>220</v>
      </c>
      <c r="H324" s="72" t="s">
        <v>6</v>
      </c>
      <c r="I324" s="94"/>
      <c r="J324" s="96"/>
      <c r="K324" s="94"/>
      <c r="L324" s="72" t="s">
        <v>221</v>
      </c>
      <c r="M324" s="72" t="s">
        <v>221</v>
      </c>
    </row>
    <row r="325" spans="2:13" x14ac:dyDescent="0.35">
      <c r="B325" s="93">
        <v>1</v>
      </c>
      <c r="C325" s="64" t="s">
        <v>222</v>
      </c>
      <c r="D325" s="64" t="s">
        <v>112</v>
      </c>
      <c r="E325" s="73" t="s">
        <v>371</v>
      </c>
      <c r="F325" s="74">
        <v>22.876401999999999</v>
      </c>
      <c r="G325" s="73" t="s">
        <v>372</v>
      </c>
      <c r="H325" s="74">
        <v>22.822510999999999</v>
      </c>
      <c r="I325" s="75">
        <v>2.34</v>
      </c>
      <c r="J325" s="93" t="s">
        <v>115</v>
      </c>
      <c r="K325" s="93" t="s">
        <v>373</v>
      </c>
      <c r="L325" s="93">
        <v>30</v>
      </c>
      <c r="M325" s="93">
        <f>48-L325</f>
        <v>18</v>
      </c>
    </row>
    <row r="326" spans="2:13" x14ac:dyDescent="0.35">
      <c r="B326" s="93"/>
      <c r="C326" s="64" t="s">
        <v>228</v>
      </c>
      <c r="D326" s="64"/>
      <c r="E326" s="76"/>
      <c r="F326" s="74">
        <v>89.522040899999993</v>
      </c>
      <c r="G326" s="76"/>
      <c r="H326" s="74">
        <v>89.558238000000003</v>
      </c>
      <c r="I326" s="75"/>
      <c r="J326" s="93"/>
      <c r="K326" s="93"/>
      <c r="L326" s="93"/>
      <c r="M326" s="93"/>
    </row>
    <row r="327" spans="2:13" x14ac:dyDescent="0.35">
      <c r="B327" s="93"/>
      <c r="C327" s="64" t="s">
        <v>229</v>
      </c>
      <c r="D327" s="64"/>
      <c r="E327" s="76"/>
      <c r="F327" s="77"/>
      <c r="G327" s="76"/>
      <c r="H327" s="77"/>
      <c r="I327" s="75"/>
      <c r="J327" s="93"/>
      <c r="K327" s="93"/>
      <c r="L327" s="93"/>
      <c r="M327" s="93"/>
    </row>
    <row r="328" spans="2:13" x14ac:dyDescent="0.35">
      <c r="B328" s="93">
        <v>2</v>
      </c>
      <c r="C328" s="64" t="s">
        <v>222</v>
      </c>
      <c r="D328" s="64" t="s">
        <v>112</v>
      </c>
      <c r="E328" s="73" t="s">
        <v>372</v>
      </c>
      <c r="F328" s="74">
        <v>22.822510999999999</v>
      </c>
      <c r="G328" s="73" t="s">
        <v>374</v>
      </c>
      <c r="H328" s="74">
        <v>22.876594730636501</v>
      </c>
      <c r="I328" s="75">
        <v>5.12</v>
      </c>
      <c r="J328" s="93" t="s">
        <v>115</v>
      </c>
      <c r="K328" s="93" t="s">
        <v>373</v>
      </c>
      <c r="L328" s="93">
        <v>30</v>
      </c>
      <c r="M328" s="93">
        <f>48-L328</f>
        <v>18</v>
      </c>
    </row>
    <row r="329" spans="2:13" x14ac:dyDescent="0.35">
      <c r="B329" s="93"/>
      <c r="C329" s="64" t="s">
        <v>228</v>
      </c>
      <c r="D329" s="64"/>
      <c r="E329" s="76"/>
      <c r="F329" s="74">
        <v>89.558238000000003</v>
      </c>
      <c r="G329" s="76"/>
      <c r="H329" s="74">
        <v>89.522305259072695</v>
      </c>
      <c r="I329" s="75"/>
      <c r="J329" s="93"/>
      <c r="K329" s="93"/>
      <c r="L329" s="93"/>
      <c r="M329" s="93"/>
    </row>
    <row r="330" spans="2:13" x14ac:dyDescent="0.35">
      <c r="B330" s="93"/>
      <c r="C330" s="64" t="s">
        <v>229</v>
      </c>
      <c r="D330" s="64"/>
      <c r="E330" s="76"/>
      <c r="F330" s="77"/>
      <c r="G330" s="76"/>
      <c r="H330" s="77"/>
      <c r="I330" s="75"/>
      <c r="J330" s="93"/>
      <c r="K330" s="93"/>
      <c r="L330" s="93"/>
      <c r="M330" s="93"/>
    </row>
    <row r="331" spans="2:13" x14ac:dyDescent="0.35">
      <c r="B331" s="93">
        <v>3</v>
      </c>
      <c r="C331" s="64" t="s">
        <v>222</v>
      </c>
      <c r="D331" s="64" t="s">
        <v>112</v>
      </c>
      <c r="E331" s="73" t="s">
        <v>374</v>
      </c>
      <c r="F331" s="74">
        <v>22.876594730636501</v>
      </c>
      <c r="G331" s="73" t="s">
        <v>375</v>
      </c>
      <c r="H331" s="74">
        <v>22.978189</v>
      </c>
      <c r="I331" s="75">
        <v>9.69</v>
      </c>
      <c r="J331" s="93" t="s">
        <v>115</v>
      </c>
      <c r="K331" s="93" t="s">
        <v>373</v>
      </c>
      <c r="L331" s="93">
        <v>30</v>
      </c>
      <c r="M331" s="93">
        <f>48-L331</f>
        <v>18</v>
      </c>
    </row>
    <row r="332" spans="2:13" x14ac:dyDescent="0.35">
      <c r="B332" s="93"/>
      <c r="C332" s="64" t="s">
        <v>228</v>
      </c>
      <c r="D332" s="64"/>
      <c r="E332" s="76"/>
      <c r="F332" s="74">
        <v>89.522305259072695</v>
      </c>
      <c r="G332" s="75"/>
      <c r="H332" s="74">
        <v>89.446821</v>
      </c>
      <c r="I332" s="75"/>
      <c r="J332" s="93"/>
      <c r="K332" s="93"/>
      <c r="L332" s="93"/>
      <c r="M332" s="93"/>
    </row>
    <row r="333" spans="2:13" x14ac:dyDescent="0.35">
      <c r="B333" s="93"/>
      <c r="C333" s="64" t="s">
        <v>229</v>
      </c>
      <c r="D333" s="64"/>
      <c r="E333" s="76"/>
      <c r="F333" s="77"/>
      <c r="G333" s="75"/>
      <c r="H333" s="77"/>
      <c r="I333" s="75"/>
      <c r="J333" s="93"/>
      <c r="K333" s="93"/>
      <c r="L333" s="93"/>
      <c r="M333" s="93"/>
    </row>
    <row r="334" spans="2:13" x14ac:dyDescent="0.35">
      <c r="B334" s="93">
        <v>4</v>
      </c>
      <c r="C334" s="64" t="s">
        <v>222</v>
      </c>
      <c r="D334" s="64" t="s">
        <v>112</v>
      </c>
      <c r="E334" s="73" t="s">
        <v>375</v>
      </c>
      <c r="F334" s="74">
        <v>22.978189</v>
      </c>
      <c r="G334" s="73" t="s">
        <v>376</v>
      </c>
      <c r="H334" s="74">
        <v>23.242644197514199</v>
      </c>
      <c r="I334" s="75">
        <v>8.4</v>
      </c>
      <c r="J334" s="93" t="s">
        <v>115</v>
      </c>
      <c r="K334" s="93" t="s">
        <v>373</v>
      </c>
      <c r="L334" s="93">
        <v>30</v>
      </c>
      <c r="M334" s="93">
        <f>48-L334</f>
        <v>18</v>
      </c>
    </row>
    <row r="335" spans="2:13" x14ac:dyDescent="0.35">
      <c r="B335" s="93"/>
      <c r="C335" s="64" t="s">
        <v>228</v>
      </c>
      <c r="D335" s="64"/>
      <c r="E335" s="75"/>
      <c r="F335" s="74">
        <v>89.446821</v>
      </c>
      <c r="G335" s="75"/>
      <c r="H335" s="74">
        <v>88.613986823523206</v>
      </c>
      <c r="I335" s="75"/>
      <c r="J335" s="93"/>
      <c r="K335" s="93"/>
      <c r="L335" s="93"/>
      <c r="M335" s="93"/>
    </row>
    <row r="336" spans="2:13" x14ac:dyDescent="0.35">
      <c r="B336" s="93"/>
      <c r="C336" s="64" t="s">
        <v>229</v>
      </c>
      <c r="D336" s="64"/>
      <c r="E336" s="75"/>
      <c r="F336" s="77"/>
      <c r="G336" s="75"/>
      <c r="H336" s="77"/>
      <c r="I336" s="75"/>
      <c r="J336" s="93"/>
      <c r="K336" s="93"/>
      <c r="L336" s="93"/>
      <c r="M336" s="93"/>
    </row>
    <row r="337" spans="2:13" ht="23" x14ac:dyDescent="0.35">
      <c r="B337" s="93">
        <v>5</v>
      </c>
      <c r="C337" s="64" t="s">
        <v>222</v>
      </c>
      <c r="D337" s="64" t="s">
        <v>112</v>
      </c>
      <c r="E337" s="73" t="s">
        <v>376</v>
      </c>
      <c r="F337" s="74">
        <v>23.242644197514199</v>
      </c>
      <c r="G337" s="73" t="s">
        <v>377</v>
      </c>
      <c r="H337" s="74">
        <v>22.7916571794234</v>
      </c>
      <c r="I337" s="75">
        <v>10.45</v>
      </c>
      <c r="J337" s="93" t="s">
        <v>115</v>
      </c>
      <c r="K337" s="93" t="s">
        <v>373</v>
      </c>
      <c r="L337" s="93">
        <v>6</v>
      </c>
      <c r="M337" s="93">
        <f>48-L337</f>
        <v>42</v>
      </c>
    </row>
    <row r="338" spans="2:13" x14ac:dyDescent="0.35">
      <c r="B338" s="93"/>
      <c r="C338" s="64" t="s">
        <v>228</v>
      </c>
      <c r="D338" s="64"/>
      <c r="E338" s="75"/>
      <c r="F338" s="74">
        <v>88.613986823523206</v>
      </c>
      <c r="G338" s="75"/>
      <c r="H338" s="74">
        <v>89.520175195263405</v>
      </c>
      <c r="I338" s="75"/>
      <c r="J338" s="93"/>
      <c r="K338" s="93"/>
      <c r="L338" s="93"/>
      <c r="M338" s="93"/>
    </row>
    <row r="339" spans="2:13" x14ac:dyDescent="0.35">
      <c r="B339" s="93"/>
      <c r="C339" s="64" t="s">
        <v>229</v>
      </c>
      <c r="D339" s="64"/>
      <c r="E339" s="75"/>
      <c r="F339" s="77"/>
      <c r="G339" s="75"/>
      <c r="H339" s="77"/>
      <c r="I339" s="75"/>
      <c r="J339" s="93"/>
      <c r="K339" s="93"/>
      <c r="L339" s="93"/>
      <c r="M339" s="93"/>
    </row>
    <row r="340" spans="2:13" x14ac:dyDescent="0.35">
      <c r="B340" s="93">
        <v>6</v>
      </c>
      <c r="C340" s="64" t="s">
        <v>222</v>
      </c>
      <c r="D340" s="64" t="s">
        <v>112</v>
      </c>
      <c r="E340" s="73" t="s">
        <v>377</v>
      </c>
      <c r="F340" s="74">
        <v>22.7916571794234</v>
      </c>
      <c r="G340" s="73" t="s">
        <v>378</v>
      </c>
      <c r="H340" s="74">
        <v>22.734532218645999</v>
      </c>
      <c r="I340" s="75">
        <v>14.15</v>
      </c>
      <c r="J340" s="93" t="s">
        <v>115</v>
      </c>
      <c r="K340" s="93" t="s">
        <v>373</v>
      </c>
      <c r="L340" s="93">
        <v>6</v>
      </c>
      <c r="M340" s="93">
        <f>48-L340</f>
        <v>42</v>
      </c>
    </row>
    <row r="341" spans="2:13" x14ac:dyDescent="0.35">
      <c r="B341" s="93"/>
      <c r="C341" s="64" t="s">
        <v>228</v>
      </c>
      <c r="D341" s="64"/>
      <c r="E341" s="75"/>
      <c r="F341" s="74">
        <v>89.520175195263405</v>
      </c>
      <c r="G341" s="75"/>
      <c r="H341" s="74">
        <v>89.632968107351005</v>
      </c>
      <c r="I341" s="75"/>
      <c r="J341" s="93"/>
      <c r="K341" s="93"/>
      <c r="L341" s="93"/>
      <c r="M341" s="93"/>
    </row>
    <row r="342" spans="2:13" x14ac:dyDescent="0.35">
      <c r="B342" s="93"/>
      <c r="C342" s="64" t="s">
        <v>229</v>
      </c>
      <c r="D342" s="64"/>
      <c r="E342" s="75"/>
      <c r="F342" s="77"/>
      <c r="G342" s="75"/>
      <c r="H342" s="77"/>
      <c r="I342" s="75"/>
      <c r="J342" s="93"/>
      <c r="K342" s="93"/>
      <c r="L342" s="93"/>
      <c r="M342" s="93"/>
    </row>
    <row r="343" spans="2:13" x14ac:dyDescent="0.35">
      <c r="B343" s="93">
        <v>7</v>
      </c>
      <c r="C343" s="64" t="s">
        <v>222</v>
      </c>
      <c r="D343" s="64" t="s">
        <v>112</v>
      </c>
      <c r="E343" s="73" t="s">
        <v>378</v>
      </c>
      <c r="F343" s="74">
        <v>22.734532218645999</v>
      </c>
      <c r="G343" s="73" t="s">
        <v>379</v>
      </c>
      <c r="H343" s="74">
        <v>22.690969017037698</v>
      </c>
      <c r="I343" s="75">
        <v>5.15</v>
      </c>
      <c r="J343" s="93" t="s">
        <v>115</v>
      </c>
      <c r="K343" s="93" t="s">
        <v>373</v>
      </c>
      <c r="L343" s="93">
        <v>6</v>
      </c>
      <c r="M343" s="93">
        <f>48-L343</f>
        <v>42</v>
      </c>
    </row>
    <row r="344" spans="2:13" x14ac:dyDescent="0.35">
      <c r="B344" s="93"/>
      <c r="C344" s="64" t="s">
        <v>228</v>
      </c>
      <c r="D344" s="64"/>
      <c r="E344" s="75"/>
      <c r="F344" s="74">
        <v>89.632968107351005</v>
      </c>
      <c r="G344" s="75"/>
      <c r="H344" s="74">
        <v>89.649175594967602</v>
      </c>
      <c r="I344" s="75"/>
      <c r="J344" s="93"/>
      <c r="K344" s="93"/>
      <c r="L344" s="93"/>
      <c r="M344" s="93"/>
    </row>
    <row r="345" spans="2:13" x14ac:dyDescent="0.35">
      <c r="B345" s="93"/>
      <c r="C345" s="64" t="s">
        <v>229</v>
      </c>
      <c r="D345" s="64"/>
      <c r="E345" s="75"/>
      <c r="F345" s="77"/>
      <c r="G345" s="75"/>
      <c r="H345" s="77"/>
      <c r="I345" s="75"/>
      <c r="J345" s="93"/>
      <c r="K345" s="93"/>
      <c r="L345" s="93"/>
      <c r="M345" s="93"/>
    </row>
    <row r="346" spans="2:13" x14ac:dyDescent="0.35">
      <c r="B346" s="93">
        <v>8</v>
      </c>
      <c r="C346" s="64" t="s">
        <v>222</v>
      </c>
      <c r="D346" s="64" t="s">
        <v>112</v>
      </c>
      <c r="E346" s="73" t="s">
        <v>379</v>
      </c>
      <c r="F346" s="74">
        <v>22.690969017037698</v>
      </c>
      <c r="G346" s="73" t="s">
        <v>380</v>
      </c>
      <c r="H346" s="74">
        <v>22.617869815808401</v>
      </c>
      <c r="I346" s="75">
        <v>7.35</v>
      </c>
      <c r="J346" s="93" t="s">
        <v>115</v>
      </c>
      <c r="K346" s="93" t="s">
        <v>373</v>
      </c>
      <c r="L346" s="93">
        <v>6</v>
      </c>
      <c r="M346" s="93">
        <f>48-L346</f>
        <v>42</v>
      </c>
    </row>
    <row r="347" spans="2:13" x14ac:dyDescent="0.35">
      <c r="B347" s="93"/>
      <c r="C347" s="64" t="s">
        <v>228</v>
      </c>
      <c r="D347" s="64"/>
      <c r="E347" s="75"/>
      <c r="F347" s="74">
        <v>89.649175594967602</v>
      </c>
      <c r="G347" s="75"/>
      <c r="H347" s="74">
        <v>89.640505702815901</v>
      </c>
      <c r="I347" s="75"/>
      <c r="J347" s="93"/>
      <c r="K347" s="93"/>
      <c r="L347" s="93"/>
      <c r="M347" s="93"/>
    </row>
    <row r="348" spans="2:13" x14ac:dyDescent="0.35">
      <c r="B348" s="93"/>
      <c r="C348" s="64" t="s">
        <v>229</v>
      </c>
      <c r="D348" s="64"/>
      <c r="E348" s="75"/>
      <c r="F348" s="77"/>
      <c r="G348" s="75"/>
      <c r="H348" s="77"/>
      <c r="I348" s="75"/>
      <c r="J348" s="93"/>
      <c r="K348" s="93"/>
      <c r="L348" s="93"/>
      <c r="M348" s="93"/>
    </row>
    <row r="349" spans="2:13" x14ac:dyDescent="0.35">
      <c r="B349" s="93">
        <v>9</v>
      </c>
      <c r="C349" s="64" t="s">
        <v>222</v>
      </c>
      <c r="D349" s="64" t="s">
        <v>112</v>
      </c>
      <c r="E349" s="73" t="s">
        <v>380</v>
      </c>
      <c r="F349" s="74">
        <v>22.617869815808401</v>
      </c>
      <c r="G349" s="73" t="s">
        <v>381</v>
      </c>
      <c r="H349" s="74">
        <v>22.544247539508198</v>
      </c>
      <c r="I349" s="75">
        <v>11.5</v>
      </c>
      <c r="J349" s="93" t="s">
        <v>115</v>
      </c>
      <c r="K349" s="93" t="s">
        <v>373</v>
      </c>
      <c r="L349" s="93">
        <v>6</v>
      </c>
      <c r="M349" s="93">
        <f>48-L349</f>
        <v>42</v>
      </c>
    </row>
    <row r="350" spans="2:13" x14ac:dyDescent="0.35">
      <c r="B350" s="93"/>
      <c r="C350" s="64" t="s">
        <v>228</v>
      </c>
      <c r="D350" s="64"/>
      <c r="E350" s="75"/>
      <c r="F350" s="74">
        <v>89.640505702815901</v>
      </c>
      <c r="G350" s="75"/>
      <c r="H350" s="74">
        <v>89.587248560430496</v>
      </c>
      <c r="I350" s="75"/>
      <c r="J350" s="93"/>
      <c r="K350" s="93"/>
      <c r="L350" s="93"/>
      <c r="M350" s="93"/>
    </row>
    <row r="351" spans="2:13" x14ac:dyDescent="0.35">
      <c r="B351" s="93"/>
      <c r="C351" s="64" t="s">
        <v>229</v>
      </c>
      <c r="D351" s="64"/>
      <c r="E351" s="75"/>
      <c r="F351" s="77"/>
      <c r="G351" s="75"/>
      <c r="H351" s="77"/>
      <c r="I351" s="75"/>
      <c r="J351" s="93"/>
      <c r="K351" s="93"/>
      <c r="L351" s="93"/>
      <c r="M351" s="93"/>
    </row>
    <row r="352" spans="2:13" x14ac:dyDescent="0.35">
      <c r="B352" s="93">
        <v>10</v>
      </c>
      <c r="C352" s="64" t="s">
        <v>222</v>
      </c>
      <c r="D352" s="64" t="s">
        <v>112</v>
      </c>
      <c r="E352" s="73" t="s">
        <v>381</v>
      </c>
      <c r="F352" s="74">
        <v>22.544247539508198</v>
      </c>
      <c r="G352" s="73" t="s">
        <v>382</v>
      </c>
      <c r="H352" s="74">
        <v>22.488227456512099</v>
      </c>
      <c r="I352" s="75">
        <v>2.71</v>
      </c>
      <c r="J352" s="95" t="s">
        <v>115</v>
      </c>
      <c r="K352" s="93" t="s">
        <v>373</v>
      </c>
      <c r="L352" s="93">
        <v>6</v>
      </c>
      <c r="M352" s="93">
        <f>48-L352</f>
        <v>42</v>
      </c>
    </row>
    <row r="353" spans="2:13" x14ac:dyDescent="0.35">
      <c r="B353" s="93"/>
      <c r="C353" s="64" t="s">
        <v>228</v>
      </c>
      <c r="D353" s="64"/>
      <c r="E353" s="75"/>
      <c r="F353" s="74">
        <v>89.587248560430496</v>
      </c>
      <c r="G353" s="75"/>
      <c r="H353" s="74">
        <v>89.591573750705905</v>
      </c>
      <c r="I353" s="75"/>
      <c r="J353" s="95"/>
      <c r="K353" s="93"/>
      <c r="L353" s="93"/>
      <c r="M353" s="93"/>
    </row>
    <row r="354" spans="2:13" x14ac:dyDescent="0.35">
      <c r="B354" s="93"/>
      <c r="C354" s="64" t="s">
        <v>229</v>
      </c>
      <c r="D354" s="64"/>
      <c r="E354" s="75"/>
      <c r="F354" s="77"/>
      <c r="G354" s="75"/>
      <c r="H354" s="77"/>
      <c r="I354" s="75"/>
      <c r="J354" s="95"/>
      <c r="K354" s="93"/>
      <c r="L354" s="93"/>
      <c r="M354" s="93"/>
    </row>
    <row r="355" spans="2:13" x14ac:dyDescent="0.35">
      <c r="B355" s="93">
        <v>11</v>
      </c>
      <c r="C355" s="64" t="s">
        <v>222</v>
      </c>
      <c r="D355" s="64" t="s">
        <v>112</v>
      </c>
      <c r="E355" s="73" t="s">
        <v>382</v>
      </c>
      <c r="F355" s="74">
        <v>22.488227456512099</v>
      </c>
      <c r="G355" s="73" t="s">
        <v>383</v>
      </c>
      <c r="H355" s="74">
        <v>22.978189</v>
      </c>
      <c r="I355" s="75">
        <v>5.0599999999999996</v>
      </c>
      <c r="J355" s="95" t="s">
        <v>115</v>
      </c>
      <c r="K355" s="93" t="s">
        <v>373</v>
      </c>
      <c r="L355" s="93">
        <v>6</v>
      </c>
      <c r="M355" s="93">
        <f>48-L355</f>
        <v>42</v>
      </c>
    </row>
    <row r="356" spans="2:13" x14ac:dyDescent="0.35">
      <c r="B356" s="93"/>
      <c r="C356" s="64" t="s">
        <v>228</v>
      </c>
      <c r="D356" s="64"/>
      <c r="E356" s="75"/>
      <c r="F356" s="74">
        <v>89.591573750705905</v>
      </c>
      <c r="G356" s="75"/>
      <c r="H356" s="74">
        <v>89.446821</v>
      </c>
      <c r="I356" s="75"/>
      <c r="J356" s="95"/>
      <c r="K356" s="93"/>
      <c r="L356" s="93"/>
      <c r="M356" s="93"/>
    </row>
    <row r="357" spans="2:13" x14ac:dyDescent="0.35">
      <c r="B357" s="93"/>
      <c r="C357" s="64" t="s">
        <v>229</v>
      </c>
      <c r="D357" s="64"/>
      <c r="E357" s="75"/>
      <c r="F357" s="77"/>
      <c r="G357" s="75"/>
      <c r="H357" s="77"/>
      <c r="I357" s="75"/>
      <c r="J357" s="95"/>
      <c r="K357" s="93"/>
      <c r="L357" s="93"/>
      <c r="M357" s="93"/>
    </row>
    <row r="358" spans="2:13" x14ac:dyDescent="0.35">
      <c r="B358" s="93">
        <v>12</v>
      </c>
      <c r="C358" s="64" t="s">
        <v>222</v>
      </c>
      <c r="D358" s="64" t="s">
        <v>112</v>
      </c>
      <c r="E358" s="73" t="s">
        <v>375</v>
      </c>
      <c r="F358" s="74">
        <v>22.978189</v>
      </c>
      <c r="G358" s="73" t="s">
        <v>384</v>
      </c>
      <c r="H358" s="74">
        <v>22.992743000000001</v>
      </c>
      <c r="I358" s="75">
        <v>4.09</v>
      </c>
      <c r="J358" s="93" t="s">
        <v>115</v>
      </c>
      <c r="K358" s="93" t="s">
        <v>275</v>
      </c>
      <c r="L358" s="93">
        <v>34</v>
      </c>
      <c r="M358" s="93">
        <f>96-L358</f>
        <v>62</v>
      </c>
    </row>
    <row r="359" spans="2:13" x14ac:dyDescent="0.35">
      <c r="B359" s="93"/>
      <c r="C359" s="64" t="s">
        <v>228</v>
      </c>
      <c r="D359" s="64"/>
      <c r="E359" s="75"/>
      <c r="F359" s="74">
        <v>89.446821</v>
      </c>
      <c r="G359" s="75"/>
      <c r="H359" s="74">
        <v>89.432304999999999</v>
      </c>
      <c r="I359" s="75"/>
      <c r="J359" s="93"/>
      <c r="K359" s="93"/>
      <c r="L359" s="93"/>
      <c r="M359" s="93"/>
    </row>
    <row r="360" spans="2:13" x14ac:dyDescent="0.35">
      <c r="B360" s="93"/>
      <c r="C360" s="64" t="s">
        <v>229</v>
      </c>
      <c r="D360" s="64"/>
      <c r="E360" s="75"/>
      <c r="F360" s="77"/>
      <c r="G360" s="75"/>
      <c r="H360" s="77"/>
      <c r="I360" s="75"/>
      <c r="J360" s="93"/>
      <c r="K360" s="93"/>
      <c r="L360" s="93"/>
      <c r="M360" s="93"/>
    </row>
    <row r="361" spans="2:13" x14ac:dyDescent="0.35">
      <c r="B361" s="93">
        <v>13</v>
      </c>
      <c r="C361" s="64" t="s">
        <v>222</v>
      </c>
      <c r="D361" s="64" t="s">
        <v>112</v>
      </c>
      <c r="E361" s="73" t="s">
        <v>384</v>
      </c>
      <c r="F361" s="74">
        <v>22.992743000000001</v>
      </c>
      <c r="G361" s="73" t="s">
        <v>385</v>
      </c>
      <c r="H361" s="74">
        <v>23.033223</v>
      </c>
      <c r="I361" s="75">
        <v>8.1999999999999993</v>
      </c>
      <c r="J361" s="93" t="s">
        <v>115</v>
      </c>
      <c r="K361" s="93" t="s">
        <v>373</v>
      </c>
      <c r="L361" s="93">
        <v>30</v>
      </c>
      <c r="M361" s="93">
        <f>48-L361</f>
        <v>18</v>
      </c>
    </row>
    <row r="362" spans="2:13" x14ac:dyDescent="0.35">
      <c r="B362" s="93"/>
      <c r="C362" s="64" t="s">
        <v>228</v>
      </c>
      <c r="D362" s="64"/>
      <c r="E362" s="75"/>
      <c r="F362" s="74">
        <v>89.432304999999999</v>
      </c>
      <c r="G362" s="75"/>
      <c r="H362" s="74">
        <v>89.395210000000006</v>
      </c>
      <c r="I362" s="75"/>
      <c r="J362" s="93"/>
      <c r="K362" s="93"/>
      <c r="L362" s="93"/>
      <c r="M362" s="93"/>
    </row>
    <row r="363" spans="2:13" x14ac:dyDescent="0.35">
      <c r="B363" s="93"/>
      <c r="C363" s="64" t="s">
        <v>229</v>
      </c>
      <c r="D363" s="64"/>
      <c r="E363" s="75"/>
      <c r="F363" s="77"/>
      <c r="G363" s="75"/>
      <c r="H363" s="77"/>
      <c r="I363" s="75"/>
      <c r="J363" s="93"/>
      <c r="K363" s="93"/>
      <c r="L363" s="93"/>
      <c r="M363" s="93"/>
    </row>
    <row r="364" spans="2:13" x14ac:dyDescent="0.35">
      <c r="B364" s="93">
        <v>14</v>
      </c>
      <c r="C364" s="64" t="s">
        <v>222</v>
      </c>
      <c r="D364" s="64" t="s">
        <v>112</v>
      </c>
      <c r="E364" s="73" t="s">
        <v>385</v>
      </c>
      <c r="F364" s="74">
        <v>23.033223</v>
      </c>
      <c r="G364" s="73" t="s">
        <v>386</v>
      </c>
      <c r="H364" s="74">
        <v>23.076346999999998</v>
      </c>
      <c r="I364" s="75">
        <v>5.65</v>
      </c>
      <c r="J364" s="93" t="s">
        <v>115</v>
      </c>
      <c r="K364" s="93" t="s">
        <v>373</v>
      </c>
      <c r="L364" s="93">
        <v>30</v>
      </c>
      <c r="M364" s="93">
        <f>48-L364</f>
        <v>18</v>
      </c>
    </row>
    <row r="365" spans="2:13" x14ac:dyDescent="0.35">
      <c r="B365" s="93"/>
      <c r="C365" s="64" t="s">
        <v>228</v>
      </c>
      <c r="D365" s="64"/>
      <c r="E365" s="75"/>
      <c r="F365" s="74">
        <v>89.395210000000006</v>
      </c>
      <c r="G365" s="75"/>
      <c r="H365" s="74">
        <v>89.365590999999995</v>
      </c>
      <c r="I365" s="75"/>
      <c r="J365" s="93"/>
      <c r="K365" s="93"/>
      <c r="L365" s="93"/>
      <c r="M365" s="93"/>
    </row>
    <row r="366" spans="2:13" x14ac:dyDescent="0.35">
      <c r="B366" s="93"/>
      <c r="C366" s="64" t="s">
        <v>229</v>
      </c>
      <c r="D366" s="64"/>
      <c r="E366" s="75"/>
      <c r="F366" s="77"/>
      <c r="G366" s="75"/>
      <c r="H366" s="77"/>
      <c r="I366" s="75"/>
      <c r="J366" s="93"/>
      <c r="K366" s="93"/>
      <c r="L366" s="93"/>
      <c r="M366" s="93"/>
    </row>
    <row r="367" spans="2:13" x14ac:dyDescent="0.35">
      <c r="B367" s="93">
        <v>15</v>
      </c>
      <c r="C367" s="64" t="s">
        <v>222</v>
      </c>
      <c r="D367" s="64" t="s">
        <v>112</v>
      </c>
      <c r="E367" s="73" t="s">
        <v>386</v>
      </c>
      <c r="F367" s="74">
        <v>23.076346999999998</v>
      </c>
      <c r="G367" s="73" t="s">
        <v>387</v>
      </c>
      <c r="H367" s="74">
        <v>23.120940000000001</v>
      </c>
      <c r="I367" s="75">
        <v>5.71</v>
      </c>
      <c r="J367" s="93" t="s">
        <v>115</v>
      </c>
      <c r="K367" s="93" t="s">
        <v>373</v>
      </c>
      <c r="L367" s="93">
        <v>30</v>
      </c>
      <c r="M367" s="93">
        <f>48-L367</f>
        <v>18</v>
      </c>
    </row>
    <row r="368" spans="2:13" x14ac:dyDescent="0.35">
      <c r="B368" s="93"/>
      <c r="C368" s="64" t="s">
        <v>228</v>
      </c>
      <c r="D368" s="64"/>
      <c r="E368" s="75"/>
      <c r="F368" s="74">
        <v>89.365590999999995</v>
      </c>
      <c r="G368" s="75"/>
      <c r="H368" s="74">
        <v>89.346483000000006</v>
      </c>
      <c r="I368" s="75"/>
      <c r="J368" s="93"/>
      <c r="K368" s="93"/>
      <c r="L368" s="93"/>
      <c r="M368" s="93"/>
    </row>
    <row r="369" spans="2:13" x14ac:dyDescent="0.35">
      <c r="B369" s="93"/>
      <c r="C369" s="64" t="s">
        <v>229</v>
      </c>
      <c r="D369" s="64"/>
      <c r="E369" s="75"/>
      <c r="F369" s="77"/>
      <c r="G369" s="75"/>
      <c r="H369" s="77"/>
      <c r="I369" s="75"/>
      <c r="J369" s="93"/>
      <c r="K369" s="93"/>
      <c r="L369" s="93"/>
      <c r="M369" s="93"/>
    </row>
    <row r="370" spans="2:13" x14ac:dyDescent="0.35">
      <c r="B370" s="93">
        <v>16</v>
      </c>
      <c r="C370" s="64" t="s">
        <v>222</v>
      </c>
      <c r="D370" s="64" t="s">
        <v>112</v>
      </c>
      <c r="E370" s="73" t="s">
        <v>387</v>
      </c>
      <c r="F370" s="74">
        <v>23.120940000000001</v>
      </c>
      <c r="G370" s="73" t="s">
        <v>388</v>
      </c>
      <c r="H370" s="74">
        <v>23.146608800471199</v>
      </c>
      <c r="I370" s="75">
        <v>3.78</v>
      </c>
      <c r="J370" s="93" t="s">
        <v>115</v>
      </c>
      <c r="K370" s="93" t="s">
        <v>275</v>
      </c>
      <c r="L370" s="93">
        <v>56</v>
      </c>
      <c r="M370" s="93">
        <f>96-L370</f>
        <v>40</v>
      </c>
    </row>
    <row r="371" spans="2:13" x14ac:dyDescent="0.35">
      <c r="B371" s="93"/>
      <c r="C371" s="64" t="s">
        <v>228</v>
      </c>
      <c r="D371" s="64"/>
      <c r="E371" s="75"/>
      <c r="F371" s="74">
        <v>89.346483000000006</v>
      </c>
      <c r="G371" s="75"/>
      <c r="H371" s="74">
        <v>89.349120024186604</v>
      </c>
      <c r="I371" s="75"/>
      <c r="J371" s="93"/>
      <c r="K371" s="93"/>
      <c r="L371" s="93"/>
      <c r="M371" s="93"/>
    </row>
    <row r="372" spans="2:13" x14ac:dyDescent="0.35">
      <c r="B372" s="93"/>
      <c r="C372" s="64" t="s">
        <v>229</v>
      </c>
      <c r="D372" s="64"/>
      <c r="E372" s="75"/>
      <c r="F372" s="77"/>
      <c r="G372" s="75"/>
      <c r="H372" s="77"/>
      <c r="I372" s="75"/>
      <c r="J372" s="93"/>
      <c r="K372" s="93"/>
      <c r="L372" s="93"/>
      <c r="M372" s="93"/>
    </row>
    <row r="373" spans="2:13" x14ac:dyDescent="0.35">
      <c r="B373" s="93">
        <v>17</v>
      </c>
      <c r="C373" s="64" t="s">
        <v>222</v>
      </c>
      <c r="D373" s="64" t="s">
        <v>112</v>
      </c>
      <c r="E373" s="73" t="s">
        <v>388</v>
      </c>
      <c r="F373" s="74">
        <v>23.146608800471199</v>
      </c>
      <c r="G373" s="73" t="s">
        <v>389</v>
      </c>
      <c r="H373" s="74">
        <v>23.160979860858198</v>
      </c>
      <c r="I373" s="75">
        <v>3.53</v>
      </c>
      <c r="J373" s="93" t="s">
        <v>115</v>
      </c>
      <c r="K373" s="93" t="s">
        <v>275</v>
      </c>
      <c r="L373" s="93">
        <v>56</v>
      </c>
      <c r="M373" s="93">
        <f>96-L373</f>
        <v>40</v>
      </c>
    </row>
    <row r="374" spans="2:13" x14ac:dyDescent="0.35">
      <c r="B374" s="93"/>
      <c r="C374" s="64" t="s">
        <v>228</v>
      </c>
      <c r="D374" s="64"/>
      <c r="E374" s="75"/>
      <c r="F374" s="74">
        <v>89.349120024186604</v>
      </c>
      <c r="G374" s="75"/>
      <c r="H374" s="74">
        <v>89.377756462545193</v>
      </c>
      <c r="I374" s="75"/>
      <c r="J374" s="93"/>
      <c r="K374" s="93"/>
      <c r="L374" s="93"/>
      <c r="M374" s="93"/>
    </row>
    <row r="375" spans="2:13" x14ac:dyDescent="0.35">
      <c r="B375" s="93"/>
      <c r="C375" s="64" t="s">
        <v>229</v>
      </c>
      <c r="D375" s="64"/>
      <c r="E375" s="75"/>
      <c r="F375" s="77"/>
      <c r="G375" s="75"/>
      <c r="H375" s="77"/>
      <c r="I375" s="75"/>
      <c r="J375" s="93"/>
      <c r="K375" s="93"/>
      <c r="L375" s="93"/>
      <c r="M375" s="93"/>
    </row>
    <row r="376" spans="2:13" x14ac:dyDescent="0.35">
      <c r="B376" s="93">
        <v>18</v>
      </c>
      <c r="C376" s="64" t="s">
        <v>222</v>
      </c>
      <c r="D376" s="64" t="s">
        <v>112</v>
      </c>
      <c r="E376" s="73" t="s">
        <v>389</v>
      </c>
      <c r="F376" s="74">
        <v>23.160979860858198</v>
      </c>
      <c r="G376" s="73" t="s">
        <v>390</v>
      </c>
      <c r="H376" s="74">
        <v>23.176992079406599</v>
      </c>
      <c r="I376" s="75">
        <v>12.49</v>
      </c>
      <c r="J376" s="93" t="s">
        <v>115</v>
      </c>
      <c r="K376" s="93" t="s">
        <v>275</v>
      </c>
      <c r="L376" s="93">
        <v>56</v>
      </c>
      <c r="M376" s="93">
        <f>96-L376</f>
        <v>40</v>
      </c>
    </row>
    <row r="377" spans="2:13" x14ac:dyDescent="0.35">
      <c r="B377" s="93"/>
      <c r="C377" s="64" t="s">
        <v>228</v>
      </c>
      <c r="D377" s="64"/>
      <c r="E377" s="75"/>
      <c r="F377" s="74">
        <v>89.377756462545193</v>
      </c>
      <c r="G377" s="75"/>
      <c r="H377" s="74">
        <v>89.495846813665693</v>
      </c>
      <c r="I377" s="75"/>
      <c r="J377" s="93"/>
      <c r="K377" s="93"/>
      <c r="L377" s="93"/>
      <c r="M377" s="93"/>
    </row>
    <row r="378" spans="2:13" x14ac:dyDescent="0.35">
      <c r="B378" s="93"/>
      <c r="C378" s="64" t="s">
        <v>229</v>
      </c>
      <c r="D378" s="64"/>
      <c r="E378" s="75"/>
      <c r="F378" s="77"/>
      <c r="G378" s="75"/>
      <c r="H378" s="77"/>
      <c r="I378" s="75"/>
      <c r="J378" s="93"/>
      <c r="K378" s="93"/>
      <c r="L378" s="93"/>
      <c r="M378" s="93"/>
    </row>
    <row r="379" spans="2:13" x14ac:dyDescent="0.35">
      <c r="B379" s="93">
        <v>19</v>
      </c>
      <c r="C379" s="64" t="s">
        <v>222</v>
      </c>
      <c r="D379" s="64" t="s">
        <v>112</v>
      </c>
      <c r="E379" s="73" t="s">
        <v>390</v>
      </c>
      <c r="F379" s="74">
        <v>23.176992079406599</v>
      </c>
      <c r="G379" s="73" t="s">
        <v>345</v>
      </c>
      <c r="H379" s="74">
        <v>23.2020912502167</v>
      </c>
      <c r="I379" s="75">
        <v>15.19</v>
      </c>
      <c r="J379" s="93" t="s">
        <v>115</v>
      </c>
      <c r="K379" s="93" t="s">
        <v>275</v>
      </c>
      <c r="L379" s="93">
        <v>56</v>
      </c>
      <c r="M379" s="93">
        <f>96-L379</f>
        <v>40</v>
      </c>
    </row>
    <row r="380" spans="2:13" x14ac:dyDescent="0.35">
      <c r="B380" s="93"/>
      <c r="C380" s="64" t="s">
        <v>228</v>
      </c>
      <c r="D380" s="64"/>
      <c r="E380" s="75"/>
      <c r="F380" s="74">
        <v>89.495846813665693</v>
      </c>
      <c r="G380" s="75"/>
      <c r="H380" s="74">
        <v>89.638864211384998</v>
      </c>
      <c r="I380" s="75"/>
      <c r="J380" s="93"/>
      <c r="K380" s="93"/>
      <c r="L380" s="93"/>
      <c r="M380" s="93"/>
    </row>
    <row r="381" spans="2:13" x14ac:dyDescent="0.35">
      <c r="B381" s="93"/>
      <c r="C381" s="64" t="s">
        <v>229</v>
      </c>
      <c r="D381" s="64"/>
      <c r="E381" s="75"/>
      <c r="F381" s="77"/>
      <c r="G381" s="75"/>
      <c r="H381" s="77"/>
      <c r="I381" s="75"/>
      <c r="J381" s="93"/>
      <c r="K381" s="93"/>
      <c r="L381" s="93"/>
      <c r="M381" s="93"/>
    </row>
    <row r="382" spans="2:13" x14ac:dyDescent="0.35">
      <c r="B382" s="93">
        <v>20</v>
      </c>
      <c r="C382" s="64" t="s">
        <v>222</v>
      </c>
      <c r="D382" s="64" t="s">
        <v>112</v>
      </c>
      <c r="E382" s="73" t="s">
        <v>345</v>
      </c>
      <c r="F382" s="74">
        <v>23.2020912502167</v>
      </c>
      <c r="G382" s="73" t="s">
        <v>391</v>
      </c>
      <c r="H382" s="74">
        <v>23.233685008349799</v>
      </c>
      <c r="I382" s="75">
        <v>10.28</v>
      </c>
      <c r="J382" s="93" t="s">
        <v>115</v>
      </c>
      <c r="K382" s="93" t="s">
        <v>275</v>
      </c>
      <c r="L382" s="93">
        <v>56</v>
      </c>
      <c r="M382" s="93">
        <f>96-L382</f>
        <v>40</v>
      </c>
    </row>
    <row r="383" spans="2:13" x14ac:dyDescent="0.35">
      <c r="B383" s="93"/>
      <c r="C383" s="64" t="s">
        <v>228</v>
      </c>
      <c r="D383" s="64"/>
      <c r="E383" s="75"/>
      <c r="F383" s="74">
        <v>89.638864211384998</v>
      </c>
      <c r="G383" s="75"/>
      <c r="H383" s="74">
        <v>89.725044628318102</v>
      </c>
      <c r="I383" s="75"/>
      <c r="J383" s="93"/>
      <c r="K383" s="93"/>
      <c r="L383" s="93"/>
      <c r="M383" s="93"/>
    </row>
    <row r="384" spans="2:13" x14ac:dyDescent="0.35">
      <c r="B384" s="93"/>
      <c r="C384" s="64" t="s">
        <v>229</v>
      </c>
      <c r="D384" s="64"/>
      <c r="E384" s="75"/>
      <c r="F384" s="77"/>
      <c r="G384" s="75"/>
      <c r="H384" s="77"/>
      <c r="I384" s="75"/>
      <c r="J384" s="93"/>
      <c r="K384" s="93"/>
      <c r="L384" s="93"/>
      <c r="M384" s="93"/>
    </row>
    <row r="385" spans="2:13" x14ac:dyDescent="0.35">
      <c r="B385" s="93">
        <v>21</v>
      </c>
      <c r="C385" s="64" t="s">
        <v>222</v>
      </c>
      <c r="D385" s="64" t="s">
        <v>112</v>
      </c>
      <c r="E385" s="73" t="s">
        <v>391</v>
      </c>
      <c r="F385" s="74">
        <v>23.233685008349799</v>
      </c>
      <c r="G385" s="73" t="s">
        <v>392</v>
      </c>
      <c r="H385" s="74">
        <v>23.2836228671128</v>
      </c>
      <c r="I385" s="75">
        <v>7.93</v>
      </c>
      <c r="J385" s="93" t="s">
        <v>115</v>
      </c>
      <c r="K385" s="93" t="s">
        <v>275</v>
      </c>
      <c r="L385" s="93">
        <v>56</v>
      </c>
      <c r="M385" s="93">
        <f>96-L385</f>
        <v>40</v>
      </c>
    </row>
    <row r="386" spans="2:13" x14ac:dyDescent="0.35">
      <c r="B386" s="93"/>
      <c r="C386" s="64" t="s">
        <v>228</v>
      </c>
      <c r="D386" s="64"/>
      <c r="E386" s="75"/>
      <c r="F386" s="74">
        <v>89.725044628318102</v>
      </c>
      <c r="G386" s="75"/>
      <c r="H386" s="74">
        <v>89.780900659424404</v>
      </c>
      <c r="I386" s="75"/>
      <c r="J386" s="93"/>
      <c r="K386" s="93"/>
      <c r="L386" s="93"/>
      <c r="M386" s="93"/>
    </row>
    <row r="387" spans="2:13" x14ac:dyDescent="0.35">
      <c r="B387" s="93"/>
      <c r="C387" s="64" t="s">
        <v>229</v>
      </c>
      <c r="D387" s="64"/>
      <c r="E387" s="75"/>
      <c r="F387" s="77"/>
      <c r="G387" s="75"/>
      <c r="H387" s="77"/>
      <c r="I387" s="75"/>
      <c r="J387" s="93"/>
      <c r="K387" s="93"/>
      <c r="L387" s="93"/>
      <c r="M387" s="93"/>
    </row>
    <row r="388" spans="2:13" x14ac:dyDescent="0.35">
      <c r="B388" s="93">
        <v>22</v>
      </c>
      <c r="C388" s="64" t="s">
        <v>222</v>
      </c>
      <c r="D388" s="64" t="s">
        <v>112</v>
      </c>
      <c r="E388" s="73" t="s">
        <v>392</v>
      </c>
      <c r="F388" s="74">
        <v>23.2836228671128</v>
      </c>
      <c r="G388" s="73" t="s">
        <v>393</v>
      </c>
      <c r="H388" s="74">
        <v>23.3295364535918</v>
      </c>
      <c r="I388" s="75">
        <v>8.93</v>
      </c>
      <c r="J388" s="93" t="s">
        <v>115</v>
      </c>
      <c r="K388" s="93" t="s">
        <v>275</v>
      </c>
      <c r="L388" s="93">
        <v>56</v>
      </c>
      <c r="M388" s="93">
        <f>96-L388</f>
        <v>40</v>
      </c>
    </row>
    <row r="389" spans="2:13" x14ac:dyDescent="0.35">
      <c r="B389" s="93"/>
      <c r="C389" s="64" t="s">
        <v>228</v>
      </c>
      <c r="D389" s="64"/>
      <c r="E389" s="75"/>
      <c r="F389" s="74">
        <v>89.780900659424404</v>
      </c>
      <c r="G389" s="75"/>
      <c r="H389" s="74">
        <v>89.851507247103598</v>
      </c>
      <c r="I389" s="75"/>
      <c r="J389" s="93"/>
      <c r="K389" s="93"/>
      <c r="L389" s="93"/>
      <c r="M389" s="93"/>
    </row>
    <row r="390" spans="2:13" x14ac:dyDescent="0.35">
      <c r="B390" s="93"/>
      <c r="C390" s="64" t="s">
        <v>229</v>
      </c>
      <c r="D390" s="64"/>
      <c r="E390" s="75"/>
      <c r="F390" s="77"/>
      <c r="G390" s="75"/>
      <c r="H390" s="77"/>
      <c r="I390" s="75"/>
      <c r="J390" s="93"/>
      <c r="K390" s="93"/>
      <c r="L390" s="93"/>
      <c r="M390" s="93"/>
    </row>
    <row r="391" spans="2:13" x14ac:dyDescent="0.35">
      <c r="B391" s="93">
        <v>23</v>
      </c>
      <c r="C391" s="64" t="s">
        <v>222</v>
      </c>
      <c r="D391" s="64" t="s">
        <v>112</v>
      </c>
      <c r="E391" s="73" t="s">
        <v>393</v>
      </c>
      <c r="F391" s="74">
        <v>23.3295364535918</v>
      </c>
      <c r="G391" s="73" t="s">
        <v>394</v>
      </c>
      <c r="H391" s="74">
        <v>23.3606281532089</v>
      </c>
      <c r="I391" s="75">
        <v>6.43</v>
      </c>
      <c r="J391" s="93" t="s">
        <v>115</v>
      </c>
      <c r="K391" s="93" t="s">
        <v>275</v>
      </c>
      <c r="L391" s="93">
        <v>56</v>
      </c>
      <c r="M391" s="93">
        <f>96-L391</f>
        <v>40</v>
      </c>
    </row>
    <row r="392" spans="2:13" x14ac:dyDescent="0.35">
      <c r="B392" s="93"/>
      <c r="C392" s="64" t="s">
        <v>228</v>
      </c>
      <c r="D392" s="64"/>
      <c r="E392" s="75"/>
      <c r="F392" s="74">
        <v>89.851507247103598</v>
      </c>
      <c r="G392" s="75"/>
      <c r="H392" s="74">
        <v>89.903538656994698</v>
      </c>
      <c r="I392" s="75"/>
      <c r="J392" s="93"/>
      <c r="K392" s="93"/>
      <c r="L392" s="93"/>
      <c r="M392" s="93"/>
    </row>
    <row r="393" spans="2:13" x14ac:dyDescent="0.35">
      <c r="B393" s="93"/>
      <c r="C393" s="64" t="s">
        <v>229</v>
      </c>
      <c r="D393" s="64"/>
      <c r="E393" s="75"/>
      <c r="F393" s="77"/>
      <c r="G393" s="75"/>
      <c r="H393" s="77"/>
      <c r="I393" s="75"/>
      <c r="J393" s="93"/>
      <c r="K393" s="93"/>
      <c r="L393" s="93"/>
      <c r="M393" s="93"/>
    </row>
    <row r="394" spans="2:13" x14ac:dyDescent="0.35">
      <c r="B394" s="93">
        <v>24</v>
      </c>
      <c r="C394" s="64" t="s">
        <v>222</v>
      </c>
      <c r="D394" s="64" t="s">
        <v>112</v>
      </c>
      <c r="E394" s="73" t="s">
        <v>394</v>
      </c>
      <c r="F394" s="74">
        <v>23.3606281532089</v>
      </c>
      <c r="G394" s="73" t="s">
        <v>395</v>
      </c>
      <c r="H394" s="74">
        <v>23.146608800471199</v>
      </c>
      <c r="I394" s="75">
        <v>12.35</v>
      </c>
      <c r="J394" s="93" t="s">
        <v>115</v>
      </c>
      <c r="K394" s="93" t="s">
        <v>275</v>
      </c>
      <c r="L394" s="93">
        <v>56</v>
      </c>
      <c r="M394" s="93">
        <f>96-L394</f>
        <v>40</v>
      </c>
    </row>
    <row r="395" spans="2:13" x14ac:dyDescent="0.35">
      <c r="B395" s="93"/>
      <c r="C395" s="64" t="s">
        <v>228</v>
      </c>
      <c r="D395" s="64"/>
      <c r="E395" s="75"/>
      <c r="F395" s="74">
        <v>89.903538656994698</v>
      </c>
      <c r="G395" s="75"/>
      <c r="H395" s="74">
        <v>89.349120024186604</v>
      </c>
      <c r="I395" s="75"/>
      <c r="J395" s="93"/>
      <c r="K395" s="93"/>
      <c r="L395" s="93"/>
      <c r="M395" s="93"/>
    </row>
    <row r="396" spans="2:13" x14ac:dyDescent="0.35">
      <c r="B396" s="93"/>
      <c r="C396" s="64" t="s">
        <v>229</v>
      </c>
      <c r="D396" s="64"/>
      <c r="E396" s="75"/>
      <c r="F396" s="77"/>
      <c r="G396" s="75"/>
      <c r="H396" s="77"/>
      <c r="I396" s="75"/>
      <c r="J396" s="93"/>
      <c r="K396" s="93"/>
      <c r="L396" s="93"/>
      <c r="M396" s="93"/>
    </row>
    <row r="397" spans="2:13" x14ac:dyDescent="0.35">
      <c r="B397" s="93">
        <v>25</v>
      </c>
      <c r="C397" s="64" t="s">
        <v>222</v>
      </c>
      <c r="D397" s="64" t="s">
        <v>112</v>
      </c>
      <c r="E397" s="73" t="s">
        <v>396</v>
      </c>
      <c r="F397" s="74">
        <v>23.146608800471199</v>
      </c>
      <c r="G397" s="73" t="s">
        <v>397</v>
      </c>
      <c r="H397" s="74">
        <v>23.120940000000001</v>
      </c>
      <c r="I397" s="75">
        <v>7.33</v>
      </c>
      <c r="J397" s="93" t="s">
        <v>115</v>
      </c>
      <c r="K397" s="93" t="s">
        <v>275</v>
      </c>
      <c r="L397" s="93">
        <v>56</v>
      </c>
      <c r="M397" s="93">
        <f>96-L397</f>
        <v>40</v>
      </c>
    </row>
    <row r="398" spans="2:13" x14ac:dyDescent="0.35">
      <c r="B398" s="93"/>
      <c r="C398" s="64" t="s">
        <v>228</v>
      </c>
      <c r="D398" s="64"/>
      <c r="E398" s="75"/>
      <c r="F398" s="74">
        <v>89.349120024186604</v>
      </c>
      <c r="G398" s="75"/>
      <c r="H398" s="74">
        <v>89.346483000000006</v>
      </c>
      <c r="I398" s="75"/>
      <c r="J398" s="93"/>
      <c r="K398" s="93"/>
      <c r="L398" s="93"/>
      <c r="M398" s="93"/>
    </row>
    <row r="399" spans="2:13" x14ac:dyDescent="0.35">
      <c r="B399" s="93"/>
      <c r="C399" s="64" t="s">
        <v>229</v>
      </c>
      <c r="D399" s="64"/>
      <c r="E399" s="75"/>
      <c r="F399" s="77"/>
      <c r="G399" s="75"/>
      <c r="H399" s="77"/>
      <c r="I399" s="75"/>
      <c r="J399" s="93"/>
      <c r="K399" s="93"/>
      <c r="L399" s="93"/>
      <c r="M399" s="93"/>
    </row>
    <row r="400" spans="2:13" x14ac:dyDescent="0.35">
      <c r="B400" s="93">
        <v>26</v>
      </c>
      <c r="C400" s="64" t="s">
        <v>222</v>
      </c>
      <c r="D400" s="64" t="s">
        <v>112</v>
      </c>
      <c r="E400" s="73" t="s">
        <v>387</v>
      </c>
      <c r="F400" s="74">
        <v>23.120940000000001</v>
      </c>
      <c r="G400" s="73" t="s">
        <v>397</v>
      </c>
      <c r="H400" s="74">
        <v>23.125515337242799</v>
      </c>
      <c r="I400" s="75">
        <v>6.43</v>
      </c>
      <c r="J400" s="93" t="s">
        <v>115</v>
      </c>
      <c r="K400" s="93" t="s">
        <v>373</v>
      </c>
      <c r="L400" s="93">
        <v>28</v>
      </c>
      <c r="M400" s="93">
        <f>48-L400</f>
        <v>20</v>
      </c>
    </row>
    <row r="401" spans="2:13" x14ac:dyDescent="0.35">
      <c r="B401" s="93"/>
      <c r="C401" s="64" t="s">
        <v>228</v>
      </c>
      <c r="D401" s="64"/>
      <c r="E401" s="75"/>
      <c r="F401" s="74">
        <v>89.346483000000006</v>
      </c>
      <c r="G401" s="75"/>
      <c r="H401" s="74">
        <v>89.286898935000593</v>
      </c>
      <c r="I401" s="75"/>
      <c r="J401" s="93"/>
      <c r="K401" s="93"/>
      <c r="L401" s="93"/>
      <c r="M401" s="93"/>
    </row>
    <row r="402" spans="2:13" x14ac:dyDescent="0.35">
      <c r="B402" s="93"/>
      <c r="C402" s="64" t="s">
        <v>229</v>
      </c>
      <c r="D402" s="64"/>
      <c r="E402" s="75"/>
      <c r="F402" s="77"/>
      <c r="G402" s="75"/>
      <c r="H402" s="77"/>
      <c r="I402" s="75"/>
      <c r="J402" s="93"/>
      <c r="K402" s="93"/>
      <c r="L402" s="93"/>
      <c r="M402" s="93"/>
    </row>
    <row r="403" spans="2:13" x14ac:dyDescent="0.35">
      <c r="B403" s="93">
        <v>27</v>
      </c>
      <c r="C403" s="64" t="s">
        <v>222</v>
      </c>
      <c r="D403" s="64" t="s">
        <v>112</v>
      </c>
      <c r="E403" s="73" t="s">
        <v>397</v>
      </c>
      <c r="F403" s="74">
        <v>23.125515337242799</v>
      </c>
      <c r="G403" s="73" t="s">
        <v>398</v>
      </c>
      <c r="H403" s="74">
        <v>23.189104</v>
      </c>
      <c r="I403" s="75">
        <v>8.77</v>
      </c>
      <c r="J403" s="93" t="s">
        <v>115</v>
      </c>
      <c r="K403" s="93" t="s">
        <v>275</v>
      </c>
      <c r="L403" s="93">
        <v>30</v>
      </c>
      <c r="M403" s="93">
        <f>48-L403</f>
        <v>18</v>
      </c>
    </row>
    <row r="404" spans="2:13" x14ac:dyDescent="0.35">
      <c r="B404" s="93"/>
      <c r="C404" s="64" t="s">
        <v>228</v>
      </c>
      <c r="D404" s="64"/>
      <c r="E404" s="75"/>
      <c r="F404" s="74">
        <v>89.286898935000593</v>
      </c>
      <c r="G404" s="75"/>
      <c r="H404" s="74">
        <v>89.183933999999994</v>
      </c>
      <c r="I404" s="75"/>
      <c r="J404" s="93"/>
      <c r="K404" s="93"/>
      <c r="L404" s="93"/>
      <c r="M404" s="93"/>
    </row>
    <row r="405" spans="2:13" x14ac:dyDescent="0.35">
      <c r="B405" s="93"/>
      <c r="C405" s="64" t="s">
        <v>229</v>
      </c>
      <c r="D405" s="64"/>
      <c r="E405" s="75"/>
      <c r="F405" s="77"/>
      <c r="G405" s="75"/>
      <c r="H405" s="77"/>
      <c r="I405" s="75"/>
      <c r="J405" s="93"/>
      <c r="K405" s="93"/>
      <c r="L405" s="93"/>
      <c r="M405" s="93"/>
    </row>
    <row r="406" spans="2:13" x14ac:dyDescent="0.35">
      <c r="B406" s="93">
        <v>28</v>
      </c>
      <c r="C406" s="64" t="s">
        <v>222</v>
      </c>
      <c r="D406" s="64" t="s">
        <v>112</v>
      </c>
      <c r="E406" s="73" t="s">
        <v>398</v>
      </c>
      <c r="F406" s="74">
        <v>23.189104</v>
      </c>
      <c r="G406" s="73" t="s">
        <v>399</v>
      </c>
      <c r="H406" s="74">
        <v>23.099918387442202</v>
      </c>
      <c r="I406" s="75">
        <v>13.28</v>
      </c>
      <c r="J406" s="93" t="s">
        <v>115</v>
      </c>
      <c r="K406" s="93" t="s">
        <v>373</v>
      </c>
      <c r="L406" s="93">
        <v>12</v>
      </c>
      <c r="M406" s="93">
        <f>48-L406</f>
        <v>36</v>
      </c>
    </row>
    <row r="407" spans="2:13" x14ac:dyDescent="0.35">
      <c r="B407" s="93"/>
      <c r="C407" s="64" t="s">
        <v>228</v>
      </c>
      <c r="D407" s="64"/>
      <c r="E407" s="75"/>
      <c r="F407" s="74">
        <v>89.183933999999994</v>
      </c>
      <c r="G407" s="75"/>
      <c r="H407" s="74">
        <v>89.101513165361993</v>
      </c>
      <c r="I407" s="75"/>
      <c r="J407" s="93"/>
      <c r="K407" s="93"/>
      <c r="L407" s="93"/>
      <c r="M407" s="93"/>
    </row>
    <row r="408" spans="2:13" x14ac:dyDescent="0.35">
      <c r="B408" s="93"/>
      <c r="C408" s="64" t="s">
        <v>229</v>
      </c>
      <c r="D408" s="64"/>
      <c r="E408" s="75"/>
      <c r="F408" s="77"/>
      <c r="G408" s="75"/>
      <c r="H408" s="77"/>
      <c r="I408" s="75"/>
      <c r="J408" s="93"/>
      <c r="K408" s="93"/>
      <c r="L408" s="93"/>
      <c r="M408" s="93"/>
    </row>
    <row r="409" spans="2:13" x14ac:dyDescent="0.35">
      <c r="B409" s="93">
        <v>29</v>
      </c>
      <c r="C409" s="64" t="s">
        <v>222</v>
      </c>
      <c r="D409" s="64" t="s">
        <v>112</v>
      </c>
      <c r="E409" s="73" t="s">
        <v>399</v>
      </c>
      <c r="F409" s="74">
        <v>23.099918387442202</v>
      </c>
      <c r="G409" s="73" t="s">
        <v>400</v>
      </c>
      <c r="H409" s="74">
        <v>23.0559721462119</v>
      </c>
      <c r="I409" s="75">
        <v>12.08</v>
      </c>
      <c r="J409" s="93" t="s">
        <v>115</v>
      </c>
      <c r="K409" s="93" t="s">
        <v>373</v>
      </c>
      <c r="L409" s="93">
        <v>12</v>
      </c>
      <c r="M409" s="93">
        <f>48-L409</f>
        <v>36</v>
      </c>
    </row>
    <row r="410" spans="2:13" x14ac:dyDescent="0.35">
      <c r="B410" s="93"/>
      <c r="C410" s="64" t="s">
        <v>228</v>
      </c>
      <c r="D410" s="64"/>
      <c r="E410" s="75"/>
      <c r="F410" s="74">
        <v>89.101513165361993</v>
      </c>
      <c r="G410" s="75"/>
      <c r="H410" s="74">
        <v>89.003258620785402</v>
      </c>
      <c r="I410" s="75"/>
      <c r="J410" s="93"/>
      <c r="K410" s="93"/>
      <c r="L410" s="93"/>
      <c r="M410" s="93"/>
    </row>
    <row r="411" spans="2:13" x14ac:dyDescent="0.35">
      <c r="B411" s="93"/>
      <c r="C411" s="64" t="s">
        <v>229</v>
      </c>
      <c r="D411" s="64"/>
      <c r="E411" s="75"/>
      <c r="F411" s="77"/>
      <c r="G411" s="75"/>
      <c r="H411" s="77"/>
      <c r="I411" s="75"/>
      <c r="J411" s="93"/>
      <c r="K411" s="93"/>
      <c r="L411" s="93"/>
      <c r="M411" s="93"/>
    </row>
    <row r="412" spans="2:13" x14ac:dyDescent="0.35">
      <c r="B412" s="93">
        <v>30</v>
      </c>
      <c r="C412" s="64" t="s">
        <v>222</v>
      </c>
      <c r="D412" s="64" t="s">
        <v>112</v>
      </c>
      <c r="E412" s="73" t="s">
        <v>400</v>
      </c>
      <c r="F412" s="74">
        <v>23.0559721462119</v>
      </c>
      <c r="G412" s="73" t="s">
        <v>401</v>
      </c>
      <c r="H412" s="74">
        <v>23.043072957887698</v>
      </c>
      <c r="I412" s="75">
        <v>9.66</v>
      </c>
      <c r="J412" s="93" t="s">
        <v>115</v>
      </c>
      <c r="K412" s="93" t="s">
        <v>373</v>
      </c>
      <c r="L412" s="93">
        <v>12</v>
      </c>
      <c r="M412" s="93">
        <f>48-L412</f>
        <v>36</v>
      </c>
    </row>
    <row r="413" spans="2:13" x14ac:dyDescent="0.35">
      <c r="B413" s="93"/>
      <c r="C413" s="64" t="s">
        <v>228</v>
      </c>
      <c r="D413" s="64"/>
      <c r="E413" s="75"/>
      <c r="F413" s="74">
        <v>89.003258620785402</v>
      </c>
      <c r="G413" s="75"/>
      <c r="H413" s="74">
        <v>88.902355993745104</v>
      </c>
      <c r="I413" s="75"/>
      <c r="J413" s="93"/>
      <c r="K413" s="93"/>
      <c r="L413" s="93"/>
      <c r="M413" s="93"/>
    </row>
    <row r="414" spans="2:13" x14ac:dyDescent="0.35">
      <c r="B414" s="93"/>
      <c r="C414" s="64" t="s">
        <v>229</v>
      </c>
      <c r="D414" s="64"/>
      <c r="E414" s="75"/>
      <c r="F414" s="77"/>
      <c r="G414" s="75"/>
      <c r="H414" s="77"/>
      <c r="I414" s="75"/>
      <c r="J414" s="93"/>
      <c r="K414" s="93"/>
      <c r="L414" s="93"/>
      <c r="M414" s="93"/>
    </row>
    <row r="415" spans="2:13" ht="23" x14ac:dyDescent="0.35">
      <c r="B415" s="93">
        <v>31</v>
      </c>
      <c r="C415" s="64" t="s">
        <v>222</v>
      </c>
      <c r="D415" s="64" t="s">
        <v>112</v>
      </c>
      <c r="E415" s="73" t="s">
        <v>398</v>
      </c>
      <c r="F415" s="74">
        <v>23.189104</v>
      </c>
      <c r="G415" s="73" t="s">
        <v>402</v>
      </c>
      <c r="H415" s="74">
        <v>23.189109999999999</v>
      </c>
      <c r="I415" s="75">
        <v>4.79</v>
      </c>
      <c r="J415" s="93" t="s">
        <v>115</v>
      </c>
      <c r="K415" s="93" t="s">
        <v>373</v>
      </c>
      <c r="L415" s="93">
        <v>28</v>
      </c>
      <c r="M415" s="93">
        <f>48-L415</f>
        <v>20</v>
      </c>
    </row>
    <row r="416" spans="2:13" x14ac:dyDescent="0.35">
      <c r="B416" s="93"/>
      <c r="C416" s="64" t="s">
        <v>228</v>
      </c>
      <c r="D416" s="64"/>
      <c r="E416" s="75"/>
      <c r="F416" s="74">
        <v>89.183933999999994</v>
      </c>
      <c r="G416" s="75"/>
      <c r="H416" s="74">
        <v>89.183930000000004</v>
      </c>
      <c r="I416" s="75"/>
      <c r="J416" s="93"/>
      <c r="K416" s="93"/>
      <c r="L416" s="93"/>
      <c r="M416" s="93"/>
    </row>
    <row r="417" spans="2:13" x14ac:dyDescent="0.35">
      <c r="B417" s="93"/>
      <c r="C417" s="64" t="s">
        <v>229</v>
      </c>
      <c r="D417" s="64"/>
      <c r="E417" s="75"/>
      <c r="F417" s="77"/>
      <c r="G417" s="75"/>
      <c r="H417" s="77"/>
      <c r="I417" s="75"/>
      <c r="J417" s="93"/>
      <c r="K417" s="93"/>
      <c r="L417" s="93"/>
      <c r="M417" s="93"/>
    </row>
    <row r="418" spans="2:13" ht="23" x14ac:dyDescent="0.35">
      <c r="B418" s="93">
        <v>32</v>
      </c>
      <c r="C418" s="64" t="s">
        <v>222</v>
      </c>
      <c r="D418" s="64" t="s">
        <v>112</v>
      </c>
      <c r="E418" s="73" t="s">
        <v>402</v>
      </c>
      <c r="F418" s="74">
        <v>23.189109999999999</v>
      </c>
      <c r="G418" s="73" t="s">
        <v>403</v>
      </c>
      <c r="H418" s="74">
        <v>23.2167315156833</v>
      </c>
      <c r="I418" s="75">
        <v>3.96</v>
      </c>
      <c r="J418" s="93" t="s">
        <v>115</v>
      </c>
      <c r="K418" s="93" t="s">
        <v>373</v>
      </c>
      <c r="L418" s="93">
        <v>30</v>
      </c>
      <c r="M418" s="93">
        <f>48-L418</f>
        <v>18</v>
      </c>
    </row>
    <row r="419" spans="2:13" x14ac:dyDescent="0.35">
      <c r="B419" s="93"/>
      <c r="C419" s="64" t="s">
        <v>228</v>
      </c>
      <c r="D419" s="64"/>
      <c r="E419" s="75"/>
      <c r="F419" s="74">
        <v>89.183930000000004</v>
      </c>
      <c r="G419" s="75"/>
      <c r="H419" s="74">
        <v>89.164086403029302</v>
      </c>
      <c r="I419" s="75"/>
      <c r="J419" s="93"/>
      <c r="K419" s="93"/>
      <c r="L419" s="93"/>
      <c r="M419" s="93"/>
    </row>
    <row r="420" spans="2:13" x14ac:dyDescent="0.35">
      <c r="B420" s="93"/>
      <c r="C420" s="64" t="s">
        <v>229</v>
      </c>
      <c r="D420" s="64"/>
      <c r="E420" s="75"/>
      <c r="F420" s="77"/>
      <c r="G420" s="75"/>
      <c r="H420" s="77"/>
      <c r="I420" s="75"/>
      <c r="J420" s="93"/>
      <c r="K420" s="93"/>
      <c r="L420" s="93"/>
      <c r="M420" s="93"/>
    </row>
    <row r="421" spans="2:13" x14ac:dyDescent="0.35">
      <c r="B421" s="93">
        <v>33</v>
      </c>
      <c r="C421" s="64" t="s">
        <v>222</v>
      </c>
      <c r="D421" s="64" t="s">
        <v>112</v>
      </c>
      <c r="E421" s="73" t="s">
        <v>403</v>
      </c>
      <c r="F421" s="74">
        <v>23.2167315156833</v>
      </c>
      <c r="G421" s="73" t="s">
        <v>404</v>
      </c>
      <c r="H421" s="74">
        <v>22.590451000000002</v>
      </c>
      <c r="I421" s="75">
        <v>10.41</v>
      </c>
      <c r="J421" s="93" t="s">
        <v>115</v>
      </c>
      <c r="K421" s="93" t="s">
        <v>373</v>
      </c>
      <c r="L421" s="93">
        <v>30</v>
      </c>
      <c r="M421" s="93">
        <f>48-L421</f>
        <v>18</v>
      </c>
    </row>
    <row r="422" spans="2:13" x14ac:dyDescent="0.35">
      <c r="B422" s="93"/>
      <c r="C422" s="64" t="s">
        <v>228</v>
      </c>
      <c r="D422" s="64"/>
      <c r="E422" s="75"/>
      <c r="F422" s="74">
        <v>89.164086403029302</v>
      </c>
      <c r="G422" s="75"/>
      <c r="H422" s="74">
        <v>88.351292000000001</v>
      </c>
      <c r="I422" s="75"/>
      <c r="J422" s="93"/>
      <c r="K422" s="93"/>
      <c r="L422" s="93"/>
      <c r="M422" s="93"/>
    </row>
    <row r="423" spans="2:13" x14ac:dyDescent="0.35">
      <c r="B423" s="93"/>
      <c r="C423" s="64" t="s">
        <v>229</v>
      </c>
      <c r="D423" s="64"/>
      <c r="E423" s="75"/>
      <c r="F423" s="77"/>
      <c r="G423" s="75"/>
      <c r="H423" s="77"/>
      <c r="I423" s="75"/>
      <c r="J423" s="93"/>
      <c r="K423" s="93"/>
      <c r="L423" s="93"/>
      <c r="M423" s="93"/>
    </row>
    <row r="424" spans="2:13" x14ac:dyDescent="0.35">
      <c r="B424" s="93">
        <v>34</v>
      </c>
      <c r="C424" s="64" t="s">
        <v>222</v>
      </c>
      <c r="D424" s="64" t="s">
        <v>112</v>
      </c>
      <c r="E424" s="73" t="s">
        <v>404</v>
      </c>
      <c r="F424" s="74">
        <v>22.590451000000002</v>
      </c>
      <c r="G424" s="73" t="s">
        <v>405</v>
      </c>
      <c r="H424" s="74">
        <v>23.400490000000001</v>
      </c>
      <c r="I424" s="75">
        <v>11.07</v>
      </c>
      <c r="J424" s="93" t="s">
        <v>115</v>
      </c>
      <c r="K424" s="93" t="s">
        <v>373</v>
      </c>
      <c r="L424" s="93">
        <v>28</v>
      </c>
      <c r="M424" s="93">
        <f>48-L424</f>
        <v>20</v>
      </c>
    </row>
    <row r="425" spans="2:13" x14ac:dyDescent="0.35">
      <c r="B425" s="93"/>
      <c r="C425" s="64" t="s">
        <v>228</v>
      </c>
      <c r="D425" s="64"/>
      <c r="E425" s="75"/>
      <c r="F425" s="74">
        <v>88.351292000000001</v>
      </c>
      <c r="G425" s="75"/>
      <c r="H425" s="74">
        <v>89.124504999999999</v>
      </c>
      <c r="I425" s="75"/>
      <c r="J425" s="93"/>
      <c r="K425" s="93"/>
      <c r="L425" s="93"/>
      <c r="M425" s="93"/>
    </row>
    <row r="426" spans="2:13" x14ac:dyDescent="0.35">
      <c r="B426" s="93"/>
      <c r="C426" s="64" t="s">
        <v>229</v>
      </c>
      <c r="D426" s="64"/>
      <c r="E426" s="75"/>
      <c r="F426" s="77"/>
      <c r="G426" s="75"/>
      <c r="H426" s="77"/>
      <c r="I426" s="75"/>
      <c r="J426" s="93"/>
      <c r="K426" s="93"/>
      <c r="L426" s="93"/>
      <c r="M426" s="93"/>
    </row>
    <row r="427" spans="2:13" x14ac:dyDescent="0.35">
      <c r="B427" s="93">
        <v>35</v>
      </c>
      <c r="C427" s="64" t="s">
        <v>222</v>
      </c>
      <c r="D427" s="64" t="s">
        <v>112</v>
      </c>
      <c r="E427" s="73" t="s">
        <v>405</v>
      </c>
      <c r="F427" s="74">
        <v>23.400490000000001</v>
      </c>
      <c r="G427" s="73" t="s">
        <v>406</v>
      </c>
      <c r="H427" s="74">
        <v>23.415495</v>
      </c>
      <c r="I427" s="75">
        <v>4.8600000000000003</v>
      </c>
      <c r="J427" s="93" t="s">
        <v>115</v>
      </c>
      <c r="K427" s="93" t="s">
        <v>373</v>
      </c>
      <c r="L427" s="93">
        <v>30</v>
      </c>
      <c r="M427" s="93">
        <f>48-L427</f>
        <v>18</v>
      </c>
    </row>
    <row r="428" spans="2:13" x14ac:dyDescent="0.35">
      <c r="B428" s="93"/>
      <c r="C428" s="64" t="s">
        <v>228</v>
      </c>
      <c r="D428" s="64"/>
      <c r="E428" s="75"/>
      <c r="F428" s="74">
        <v>89.124504999999999</v>
      </c>
      <c r="G428" s="75"/>
      <c r="H428" s="74">
        <v>89.014087000000004</v>
      </c>
      <c r="I428" s="75"/>
      <c r="J428" s="93"/>
      <c r="K428" s="93"/>
      <c r="L428" s="93"/>
      <c r="M428" s="93"/>
    </row>
    <row r="429" spans="2:13" x14ac:dyDescent="0.35">
      <c r="B429" s="93"/>
      <c r="C429" s="64" t="s">
        <v>229</v>
      </c>
      <c r="D429" s="64"/>
      <c r="E429" s="75"/>
      <c r="F429" s="77"/>
      <c r="G429" s="75"/>
      <c r="H429" s="77"/>
      <c r="I429" s="75"/>
      <c r="J429" s="93"/>
      <c r="K429" s="93"/>
      <c r="L429" s="93"/>
      <c r="M429" s="93"/>
    </row>
    <row r="430" spans="2:13" x14ac:dyDescent="0.35">
      <c r="B430" s="93">
        <v>36</v>
      </c>
      <c r="C430" s="64" t="s">
        <v>222</v>
      </c>
      <c r="D430" s="64" t="s">
        <v>112</v>
      </c>
      <c r="E430" s="73" t="s">
        <v>406</v>
      </c>
      <c r="F430" s="74">
        <v>23.415495</v>
      </c>
      <c r="G430" s="73" t="s">
        <v>407</v>
      </c>
      <c r="H430" s="74">
        <v>23.463205695247101</v>
      </c>
      <c r="I430" s="75">
        <v>7.93</v>
      </c>
      <c r="J430" s="93" t="s">
        <v>115</v>
      </c>
      <c r="K430" s="93" t="s">
        <v>373</v>
      </c>
      <c r="L430" s="93">
        <v>28</v>
      </c>
      <c r="M430" s="93">
        <f>48-L430</f>
        <v>20</v>
      </c>
    </row>
    <row r="431" spans="2:13" x14ac:dyDescent="0.35">
      <c r="B431" s="93"/>
      <c r="C431" s="64" t="s">
        <v>228</v>
      </c>
      <c r="D431" s="64"/>
      <c r="E431" s="75"/>
      <c r="F431" s="74">
        <v>89.014087000000004</v>
      </c>
      <c r="G431" s="75"/>
      <c r="H431" s="74">
        <v>88.959744775691206</v>
      </c>
      <c r="I431" s="75"/>
      <c r="J431" s="93"/>
      <c r="K431" s="93"/>
      <c r="L431" s="93"/>
      <c r="M431" s="93"/>
    </row>
    <row r="432" spans="2:13" x14ac:dyDescent="0.35">
      <c r="B432" s="93"/>
      <c r="C432" s="64" t="s">
        <v>229</v>
      </c>
      <c r="D432" s="64"/>
      <c r="E432" s="75"/>
      <c r="F432" s="77"/>
      <c r="G432" s="75"/>
      <c r="H432" s="77"/>
      <c r="I432" s="75"/>
      <c r="J432" s="93"/>
      <c r="K432" s="93"/>
      <c r="L432" s="93"/>
      <c r="M432" s="93"/>
    </row>
    <row r="433" spans="2:13" x14ac:dyDescent="0.35">
      <c r="B433" s="93">
        <v>37</v>
      </c>
      <c r="C433" s="64" t="s">
        <v>222</v>
      </c>
      <c r="D433" s="64" t="s">
        <v>112</v>
      </c>
      <c r="E433" s="73" t="s">
        <v>407</v>
      </c>
      <c r="F433" s="74">
        <v>23.463205695247101</v>
      </c>
      <c r="G433" s="73" t="s">
        <v>408</v>
      </c>
      <c r="H433" s="74">
        <v>23.49211</v>
      </c>
      <c r="I433" s="75">
        <v>8.3699999999999992</v>
      </c>
      <c r="J433" s="93" t="s">
        <v>115</v>
      </c>
      <c r="K433" s="93" t="s">
        <v>373</v>
      </c>
      <c r="L433" s="93">
        <v>30</v>
      </c>
      <c r="M433" s="93">
        <f>48-L433</f>
        <v>18</v>
      </c>
    </row>
    <row r="434" spans="2:13" x14ac:dyDescent="0.35">
      <c r="B434" s="93"/>
      <c r="C434" s="64" t="s">
        <v>228</v>
      </c>
      <c r="D434" s="64"/>
      <c r="E434" s="75"/>
      <c r="F434" s="74">
        <v>88.959744775691206</v>
      </c>
      <c r="G434" s="75"/>
      <c r="H434" s="74">
        <v>88.885569000000004</v>
      </c>
      <c r="I434" s="75"/>
      <c r="J434" s="93"/>
      <c r="K434" s="93"/>
      <c r="L434" s="93"/>
      <c r="M434" s="93"/>
    </row>
    <row r="435" spans="2:13" x14ac:dyDescent="0.35">
      <c r="B435" s="93"/>
      <c r="C435" s="64" t="s">
        <v>229</v>
      </c>
      <c r="D435" s="64"/>
      <c r="E435" s="75"/>
      <c r="F435" s="77"/>
      <c r="G435" s="75"/>
      <c r="H435" s="77"/>
      <c r="I435" s="75"/>
      <c r="J435" s="93"/>
      <c r="K435" s="93"/>
      <c r="L435" s="93"/>
      <c r="M435" s="93"/>
    </row>
    <row r="436" spans="2:13" x14ac:dyDescent="0.35">
      <c r="B436" s="93">
        <v>38</v>
      </c>
      <c r="C436" s="64" t="s">
        <v>222</v>
      </c>
      <c r="D436" s="64" t="s">
        <v>112</v>
      </c>
      <c r="E436" s="73" t="s">
        <v>408</v>
      </c>
      <c r="F436" s="74">
        <v>23.49211</v>
      </c>
      <c r="G436" s="73" t="s">
        <v>409</v>
      </c>
      <c r="H436" s="74">
        <v>23.492570096717401</v>
      </c>
      <c r="I436" s="75">
        <v>4.0999999999999996</v>
      </c>
      <c r="J436" s="93" t="s">
        <v>115</v>
      </c>
      <c r="K436" s="93" t="s">
        <v>373</v>
      </c>
      <c r="L436" s="93">
        <v>28</v>
      </c>
      <c r="M436" s="93">
        <f>48-L436</f>
        <v>20</v>
      </c>
    </row>
    <row r="437" spans="2:13" x14ac:dyDescent="0.35">
      <c r="B437" s="93"/>
      <c r="C437" s="64" t="s">
        <v>228</v>
      </c>
      <c r="D437" s="64"/>
      <c r="E437" s="75"/>
      <c r="F437" s="74">
        <v>88.885569000000004</v>
      </c>
      <c r="G437" s="75"/>
      <c r="H437" s="74">
        <v>88.845090625839902</v>
      </c>
      <c r="I437" s="75"/>
      <c r="J437" s="93"/>
      <c r="K437" s="93"/>
      <c r="L437" s="93"/>
      <c r="M437" s="93"/>
    </row>
    <row r="438" spans="2:13" x14ac:dyDescent="0.35">
      <c r="B438" s="93"/>
      <c r="C438" s="64" t="s">
        <v>229</v>
      </c>
      <c r="D438" s="64"/>
      <c r="E438" s="75"/>
      <c r="F438" s="77"/>
      <c r="G438" s="75"/>
      <c r="H438" s="77"/>
      <c r="I438" s="75"/>
      <c r="J438" s="93"/>
      <c r="K438" s="93"/>
      <c r="L438" s="93"/>
      <c r="M438" s="93"/>
    </row>
    <row r="439" spans="2:13" x14ac:dyDescent="0.35">
      <c r="B439" s="93">
        <v>39</v>
      </c>
      <c r="C439" s="64" t="s">
        <v>222</v>
      </c>
      <c r="D439" s="64" t="s">
        <v>112</v>
      </c>
      <c r="E439" s="73" t="s">
        <v>409</v>
      </c>
      <c r="F439" s="74">
        <v>23.492570096717401</v>
      </c>
      <c r="G439" s="73" t="s">
        <v>410</v>
      </c>
      <c r="H439" s="78">
        <v>23.529208064679899</v>
      </c>
      <c r="I439" s="75">
        <v>5.67</v>
      </c>
      <c r="J439" s="93" t="s">
        <v>115</v>
      </c>
      <c r="K439" s="93" t="s">
        <v>275</v>
      </c>
      <c r="L439" s="93">
        <v>48</v>
      </c>
      <c r="M439" s="93">
        <f>96-L439</f>
        <v>48</v>
      </c>
    </row>
    <row r="440" spans="2:13" x14ac:dyDescent="0.35">
      <c r="B440" s="93"/>
      <c r="C440" s="64" t="s">
        <v>228</v>
      </c>
      <c r="D440" s="64"/>
      <c r="E440" s="75"/>
      <c r="F440" s="74">
        <v>88.845090625839902</v>
      </c>
      <c r="G440" s="75"/>
      <c r="H440" s="79">
        <v>88.809774227503794</v>
      </c>
      <c r="I440" s="75"/>
      <c r="J440" s="93"/>
      <c r="K440" s="93"/>
      <c r="L440" s="93"/>
      <c r="M440" s="93"/>
    </row>
    <row r="441" spans="2:13" x14ac:dyDescent="0.35">
      <c r="B441" s="93"/>
      <c r="C441" s="64" t="s">
        <v>229</v>
      </c>
      <c r="D441" s="64"/>
      <c r="E441" s="75"/>
      <c r="F441" s="77"/>
      <c r="G441" s="75"/>
      <c r="H441" s="77"/>
      <c r="I441" s="75"/>
      <c r="J441" s="93"/>
      <c r="K441" s="93"/>
      <c r="L441" s="93"/>
      <c r="M441" s="93"/>
    </row>
    <row r="442" spans="2:13" x14ac:dyDescent="0.35">
      <c r="B442" s="93">
        <v>40</v>
      </c>
      <c r="C442" s="64" t="s">
        <v>222</v>
      </c>
      <c r="D442" s="64" t="s">
        <v>112</v>
      </c>
      <c r="E442" s="73" t="s">
        <v>410</v>
      </c>
      <c r="F442" s="78">
        <v>23.529208064679899</v>
      </c>
      <c r="G442" s="73" t="s">
        <v>411</v>
      </c>
      <c r="H442" s="74">
        <v>23.529102000000002</v>
      </c>
      <c r="I442" s="75">
        <v>2.02</v>
      </c>
      <c r="J442" s="93" t="s">
        <v>115</v>
      </c>
      <c r="K442" s="93" t="s">
        <v>275</v>
      </c>
      <c r="L442" s="93">
        <v>48</v>
      </c>
      <c r="M442" s="93">
        <f>96-L442</f>
        <v>48</v>
      </c>
    </row>
    <row r="443" spans="2:13" x14ac:dyDescent="0.35">
      <c r="B443" s="93"/>
      <c r="C443" s="64" t="s">
        <v>228</v>
      </c>
      <c r="D443" s="64"/>
      <c r="E443" s="75"/>
      <c r="F443" s="79">
        <v>88.809774227503794</v>
      </c>
      <c r="G443" s="75"/>
      <c r="H443" s="74">
        <v>88.809960000000004</v>
      </c>
      <c r="I443" s="75"/>
      <c r="J443" s="93"/>
      <c r="K443" s="93"/>
      <c r="L443" s="93"/>
      <c r="M443" s="93"/>
    </row>
    <row r="444" spans="2:13" x14ac:dyDescent="0.35">
      <c r="B444" s="93"/>
      <c r="C444" s="64" t="s">
        <v>229</v>
      </c>
      <c r="D444" s="64"/>
      <c r="E444" s="75"/>
      <c r="F444" s="77"/>
      <c r="G444" s="75"/>
      <c r="H444" s="77"/>
      <c r="I444" s="75"/>
      <c r="J444" s="93"/>
      <c r="K444" s="93"/>
      <c r="L444" s="93"/>
      <c r="M444" s="93"/>
    </row>
    <row r="445" spans="2:13" x14ac:dyDescent="0.35">
      <c r="B445" s="93">
        <v>41</v>
      </c>
      <c r="C445" s="64" t="s">
        <v>222</v>
      </c>
      <c r="D445" s="64" t="s">
        <v>112</v>
      </c>
      <c r="E445" s="73" t="s">
        <v>412</v>
      </c>
      <c r="F445" s="74">
        <v>23.526468000000001</v>
      </c>
      <c r="G445" s="73" t="s">
        <v>411</v>
      </c>
      <c r="H445" s="74">
        <v>23.529102000000002</v>
      </c>
      <c r="I445" s="75">
        <v>1.01</v>
      </c>
      <c r="J445" s="93" t="s">
        <v>115</v>
      </c>
      <c r="K445" s="93" t="s">
        <v>275</v>
      </c>
      <c r="L445" s="93">
        <v>48</v>
      </c>
      <c r="M445" s="93">
        <f>96-L445</f>
        <v>48</v>
      </c>
    </row>
    <row r="446" spans="2:13" x14ac:dyDescent="0.35">
      <c r="B446" s="93"/>
      <c r="C446" s="64" t="s">
        <v>228</v>
      </c>
      <c r="D446" s="64"/>
      <c r="E446" s="75"/>
      <c r="F446" s="74">
        <v>88.796953999999999</v>
      </c>
      <c r="G446" s="75"/>
      <c r="H446" s="74">
        <v>88.809960000000004</v>
      </c>
      <c r="I446" s="75"/>
      <c r="J446" s="93"/>
      <c r="K446" s="93"/>
      <c r="L446" s="93"/>
      <c r="M446" s="93"/>
    </row>
    <row r="447" spans="2:13" x14ac:dyDescent="0.35">
      <c r="B447" s="93"/>
      <c r="C447" s="64" t="s">
        <v>229</v>
      </c>
      <c r="D447" s="64"/>
      <c r="E447" s="75"/>
      <c r="F447" s="77"/>
      <c r="G447" s="75"/>
      <c r="H447" s="77"/>
      <c r="I447" s="75"/>
      <c r="J447" s="93"/>
      <c r="K447" s="93"/>
      <c r="L447" s="93"/>
      <c r="M447" s="93"/>
    </row>
    <row r="448" spans="2:13" x14ac:dyDescent="0.35">
      <c r="B448" s="93">
        <v>42</v>
      </c>
      <c r="C448" s="64" t="s">
        <v>222</v>
      </c>
      <c r="D448" s="64" t="s">
        <v>112</v>
      </c>
      <c r="E448" s="73" t="s">
        <v>411</v>
      </c>
      <c r="F448" s="74">
        <v>23.529102000000002</v>
      </c>
      <c r="G448" s="73" t="s">
        <v>413</v>
      </c>
      <c r="H448" s="74">
        <v>23.570689000000002</v>
      </c>
      <c r="I448" s="75">
        <v>2.94</v>
      </c>
      <c r="J448" s="93" t="s">
        <v>115</v>
      </c>
      <c r="K448" s="93" t="s">
        <v>275</v>
      </c>
      <c r="L448" s="93">
        <v>48</v>
      </c>
      <c r="M448" s="93">
        <f>96-L448</f>
        <v>48</v>
      </c>
    </row>
    <row r="449" spans="2:13" x14ac:dyDescent="0.35">
      <c r="B449" s="93"/>
      <c r="C449" s="64" t="s">
        <v>228</v>
      </c>
      <c r="D449" s="64"/>
      <c r="E449" s="75"/>
      <c r="F449" s="74">
        <v>88.809960000000004</v>
      </c>
      <c r="G449" s="75"/>
      <c r="H449" s="74">
        <v>88.809678000000005</v>
      </c>
      <c r="I449" s="75"/>
      <c r="J449" s="93"/>
      <c r="K449" s="93"/>
      <c r="L449" s="93"/>
      <c r="M449" s="93"/>
    </row>
    <row r="450" spans="2:13" x14ac:dyDescent="0.35">
      <c r="B450" s="93"/>
      <c r="C450" s="64" t="s">
        <v>229</v>
      </c>
      <c r="D450" s="64"/>
      <c r="E450" s="75"/>
      <c r="F450" s="77"/>
      <c r="G450" s="75"/>
      <c r="H450" s="77"/>
      <c r="I450" s="75"/>
      <c r="J450" s="93"/>
      <c r="K450" s="93"/>
      <c r="L450" s="93"/>
      <c r="M450" s="93"/>
    </row>
    <row r="451" spans="2:13" x14ac:dyDescent="0.35">
      <c r="B451" s="93">
        <v>43</v>
      </c>
      <c r="C451" s="64" t="s">
        <v>222</v>
      </c>
      <c r="D451" s="64" t="s">
        <v>112</v>
      </c>
      <c r="E451" s="73" t="s">
        <v>413</v>
      </c>
      <c r="F451" s="74">
        <v>23.570689000000002</v>
      </c>
      <c r="G451" s="73" t="s">
        <v>414</v>
      </c>
      <c r="H451" s="74">
        <v>23.639658000000001</v>
      </c>
      <c r="I451" s="75">
        <v>9.32</v>
      </c>
      <c r="J451" s="93" t="s">
        <v>115</v>
      </c>
      <c r="K451" s="93" t="s">
        <v>275</v>
      </c>
      <c r="L451" s="93">
        <v>48</v>
      </c>
      <c r="M451" s="93">
        <f>96-L451</f>
        <v>48</v>
      </c>
    </row>
    <row r="452" spans="2:13" x14ac:dyDescent="0.35">
      <c r="B452" s="93"/>
      <c r="C452" s="64" t="s">
        <v>228</v>
      </c>
      <c r="D452" s="64"/>
      <c r="E452" s="75"/>
      <c r="F452" s="74">
        <v>88.809678000000005</v>
      </c>
      <c r="G452" s="75"/>
      <c r="H452" s="74">
        <v>88.856339000000006</v>
      </c>
      <c r="I452" s="75"/>
      <c r="J452" s="93"/>
      <c r="K452" s="93"/>
      <c r="L452" s="93"/>
      <c r="M452" s="93"/>
    </row>
    <row r="453" spans="2:13" x14ac:dyDescent="0.35">
      <c r="B453" s="93"/>
      <c r="C453" s="64" t="s">
        <v>229</v>
      </c>
      <c r="D453" s="64"/>
      <c r="E453" s="75"/>
      <c r="F453" s="77"/>
      <c r="G453" s="75"/>
      <c r="H453" s="77"/>
      <c r="I453" s="75"/>
      <c r="J453" s="93"/>
      <c r="K453" s="93"/>
      <c r="L453" s="93"/>
      <c r="M453" s="93"/>
    </row>
    <row r="454" spans="2:13" x14ac:dyDescent="0.35">
      <c r="B454" s="93">
        <v>44</v>
      </c>
      <c r="C454" s="64" t="s">
        <v>222</v>
      </c>
      <c r="D454" s="64" t="s">
        <v>112</v>
      </c>
      <c r="E454" s="73" t="s">
        <v>414</v>
      </c>
      <c r="F454" s="74">
        <v>23.639658000000001</v>
      </c>
      <c r="G454" s="73" t="s">
        <v>415</v>
      </c>
      <c r="H454" s="74">
        <v>23.684076000000001</v>
      </c>
      <c r="I454" s="75">
        <v>5.45</v>
      </c>
      <c r="J454" s="93" t="s">
        <v>115</v>
      </c>
      <c r="K454" s="93" t="s">
        <v>275</v>
      </c>
      <c r="L454" s="93">
        <v>48</v>
      </c>
      <c r="M454" s="93">
        <f>96-L454</f>
        <v>48</v>
      </c>
    </row>
    <row r="455" spans="2:13" x14ac:dyDescent="0.35">
      <c r="B455" s="93"/>
      <c r="C455" s="64" t="s">
        <v>228</v>
      </c>
      <c r="D455" s="64"/>
      <c r="E455" s="75"/>
      <c r="F455" s="74">
        <v>88.856339000000006</v>
      </c>
      <c r="G455" s="75"/>
      <c r="H455" s="74">
        <v>88.878675999999999</v>
      </c>
      <c r="I455" s="75"/>
      <c r="J455" s="93"/>
      <c r="K455" s="93"/>
      <c r="L455" s="93"/>
      <c r="M455" s="93"/>
    </row>
    <row r="456" spans="2:13" x14ac:dyDescent="0.35">
      <c r="B456" s="93"/>
      <c r="C456" s="64" t="s">
        <v>229</v>
      </c>
      <c r="D456" s="64"/>
      <c r="E456" s="75"/>
      <c r="F456" s="77"/>
      <c r="G456" s="75"/>
      <c r="H456" s="77"/>
      <c r="I456" s="75"/>
      <c r="J456" s="93"/>
      <c r="K456" s="93"/>
      <c r="L456" s="93"/>
      <c r="M456" s="93"/>
    </row>
    <row r="457" spans="2:13" x14ac:dyDescent="0.35">
      <c r="B457" s="93">
        <v>45</v>
      </c>
      <c r="C457" s="64" t="s">
        <v>222</v>
      </c>
      <c r="D457" s="64" t="s">
        <v>112</v>
      </c>
      <c r="E457" s="73" t="s">
        <v>415</v>
      </c>
      <c r="F457" s="74">
        <v>23.684076000000001</v>
      </c>
      <c r="G457" s="73" t="s">
        <v>416</v>
      </c>
      <c r="H457" s="74">
        <v>23.716678000000002</v>
      </c>
      <c r="I457" s="75">
        <v>3.86</v>
      </c>
      <c r="J457" s="93" t="s">
        <v>115</v>
      </c>
      <c r="K457" s="93" t="s">
        <v>275</v>
      </c>
      <c r="L457" s="93">
        <v>48</v>
      </c>
      <c r="M457" s="93">
        <f>96-L457</f>
        <v>48</v>
      </c>
    </row>
    <row r="458" spans="2:13" x14ac:dyDescent="0.35">
      <c r="B458" s="93"/>
      <c r="C458" s="64" t="s">
        <v>228</v>
      </c>
      <c r="D458" s="64"/>
      <c r="E458" s="75"/>
      <c r="F458" s="74">
        <v>88.878675999999999</v>
      </c>
      <c r="G458" s="75"/>
      <c r="H458" s="74">
        <v>88.894147000000004</v>
      </c>
      <c r="I458" s="75"/>
      <c r="J458" s="93"/>
      <c r="K458" s="93"/>
      <c r="L458" s="93"/>
      <c r="M458" s="93"/>
    </row>
    <row r="459" spans="2:13" x14ac:dyDescent="0.35">
      <c r="B459" s="93"/>
      <c r="C459" s="64" t="s">
        <v>229</v>
      </c>
      <c r="D459" s="64"/>
      <c r="E459" s="75"/>
      <c r="F459" s="77"/>
      <c r="G459" s="75"/>
      <c r="H459" s="77"/>
      <c r="I459" s="75"/>
      <c r="J459" s="93"/>
      <c r="K459" s="93"/>
      <c r="L459" s="93"/>
      <c r="M459" s="93"/>
    </row>
    <row r="460" spans="2:13" x14ac:dyDescent="0.35">
      <c r="B460" s="93">
        <v>46</v>
      </c>
      <c r="C460" s="64" t="s">
        <v>222</v>
      </c>
      <c r="D460" s="64" t="s">
        <v>112</v>
      </c>
      <c r="E460" s="73" t="s">
        <v>416</v>
      </c>
      <c r="F460" s="74">
        <v>23.716678000000002</v>
      </c>
      <c r="G460" s="73" t="s">
        <v>417</v>
      </c>
      <c r="H460" s="74">
        <v>23.761329</v>
      </c>
      <c r="I460" s="75">
        <v>6.52</v>
      </c>
      <c r="J460" s="93" t="s">
        <v>115</v>
      </c>
      <c r="K460" s="93" t="s">
        <v>275</v>
      </c>
      <c r="L460" s="93">
        <v>48</v>
      </c>
      <c r="M460" s="93">
        <f>96-L460</f>
        <v>48</v>
      </c>
    </row>
    <row r="461" spans="2:13" x14ac:dyDescent="0.35">
      <c r="B461" s="93"/>
      <c r="C461" s="64" t="s">
        <v>228</v>
      </c>
      <c r="D461" s="64"/>
      <c r="E461" s="75"/>
      <c r="F461" s="74">
        <v>88.894147000000004</v>
      </c>
      <c r="G461" s="75"/>
      <c r="H461" s="74">
        <v>88.936509999999998</v>
      </c>
      <c r="I461" s="75"/>
      <c r="J461" s="93"/>
      <c r="K461" s="93"/>
      <c r="L461" s="93"/>
      <c r="M461" s="93"/>
    </row>
    <row r="462" spans="2:13" x14ac:dyDescent="0.35">
      <c r="B462" s="93"/>
      <c r="C462" s="64" t="s">
        <v>229</v>
      </c>
      <c r="D462" s="64"/>
      <c r="E462" s="75"/>
      <c r="F462" s="77"/>
      <c r="G462" s="75"/>
      <c r="H462" s="77"/>
      <c r="I462" s="75"/>
      <c r="J462" s="93"/>
      <c r="K462" s="93"/>
      <c r="L462" s="93"/>
      <c r="M462" s="93"/>
    </row>
    <row r="463" spans="2:13" x14ac:dyDescent="0.35">
      <c r="B463" s="93">
        <v>47</v>
      </c>
      <c r="C463" s="64" t="s">
        <v>222</v>
      </c>
      <c r="D463" s="64" t="s">
        <v>112</v>
      </c>
      <c r="E463" s="73" t="s">
        <v>417</v>
      </c>
      <c r="F463" s="74">
        <v>23.761329</v>
      </c>
      <c r="G463" s="73" t="s">
        <v>418</v>
      </c>
      <c r="H463" s="74">
        <v>23.815345791195</v>
      </c>
      <c r="I463" s="75">
        <v>8.4700000000000006</v>
      </c>
      <c r="J463" s="93" t="s">
        <v>115</v>
      </c>
      <c r="K463" s="93" t="s">
        <v>275</v>
      </c>
      <c r="L463" s="93">
        <v>48</v>
      </c>
      <c r="M463" s="93">
        <f>96-L463</f>
        <v>48</v>
      </c>
    </row>
    <row r="464" spans="2:13" x14ac:dyDescent="0.35">
      <c r="B464" s="93"/>
      <c r="C464" s="64" t="s">
        <v>228</v>
      </c>
      <c r="D464" s="64"/>
      <c r="E464" s="75"/>
      <c r="F464" s="74">
        <v>88.936509999999998</v>
      </c>
      <c r="G464" s="73"/>
      <c r="H464" s="74">
        <v>88.991589199925897</v>
      </c>
      <c r="I464" s="75"/>
      <c r="J464" s="93"/>
      <c r="K464" s="93"/>
      <c r="L464" s="93"/>
      <c r="M464" s="93"/>
    </row>
    <row r="465" spans="2:13" x14ac:dyDescent="0.35">
      <c r="B465" s="93"/>
      <c r="C465" s="64" t="s">
        <v>229</v>
      </c>
      <c r="D465" s="64"/>
      <c r="E465" s="75"/>
      <c r="F465" s="77"/>
      <c r="G465" s="73"/>
      <c r="H465" s="77"/>
      <c r="I465" s="75"/>
      <c r="J465" s="93"/>
      <c r="K465" s="93"/>
      <c r="L465" s="93"/>
      <c r="M465" s="93"/>
    </row>
    <row r="466" spans="2:13" x14ac:dyDescent="0.35">
      <c r="B466" s="93">
        <v>48</v>
      </c>
      <c r="C466" s="64" t="s">
        <v>222</v>
      </c>
      <c r="D466" s="64" t="s">
        <v>112</v>
      </c>
      <c r="E466" s="73" t="s">
        <v>418</v>
      </c>
      <c r="F466" s="74">
        <v>23.815345791195</v>
      </c>
      <c r="G466" s="73" t="s">
        <v>419</v>
      </c>
      <c r="H466" s="74">
        <v>23.864725</v>
      </c>
      <c r="I466" s="75">
        <v>7.09</v>
      </c>
      <c r="J466" s="93" t="s">
        <v>115</v>
      </c>
      <c r="K466" s="93" t="s">
        <v>275</v>
      </c>
      <c r="L466" s="93">
        <v>48</v>
      </c>
      <c r="M466" s="93">
        <f>96-L466</f>
        <v>48</v>
      </c>
    </row>
    <row r="467" spans="2:13" x14ac:dyDescent="0.35">
      <c r="B467" s="93"/>
      <c r="C467" s="64" t="s">
        <v>228</v>
      </c>
      <c r="D467" s="64"/>
      <c r="E467" s="73"/>
      <c r="F467" s="74">
        <v>88.991589199925897</v>
      </c>
      <c r="G467" s="73"/>
      <c r="H467" s="74">
        <v>89.032709999999994</v>
      </c>
      <c r="I467" s="75"/>
      <c r="J467" s="93"/>
      <c r="K467" s="93"/>
      <c r="L467" s="93"/>
      <c r="M467" s="93"/>
    </row>
    <row r="468" spans="2:13" x14ac:dyDescent="0.35">
      <c r="B468" s="93"/>
      <c r="C468" s="64" t="s">
        <v>229</v>
      </c>
      <c r="D468" s="64"/>
      <c r="E468" s="73"/>
      <c r="F468" s="77"/>
      <c r="G468" s="73"/>
      <c r="H468" s="77"/>
      <c r="I468" s="75"/>
      <c r="J468" s="93"/>
      <c r="K468" s="93"/>
      <c r="L468" s="93"/>
      <c r="M468" s="93"/>
    </row>
    <row r="469" spans="2:13" x14ac:dyDescent="0.35">
      <c r="B469" s="93">
        <v>49</v>
      </c>
      <c r="C469" s="64" t="s">
        <v>222</v>
      </c>
      <c r="D469" s="64" t="s">
        <v>112</v>
      </c>
      <c r="E469" s="73" t="s">
        <v>419</v>
      </c>
      <c r="F469" s="74">
        <v>23.864725</v>
      </c>
      <c r="G469" s="73" t="s">
        <v>420</v>
      </c>
      <c r="H469" s="74">
        <v>23.211227999999998</v>
      </c>
      <c r="I469" s="75">
        <v>6.44</v>
      </c>
      <c r="J469" s="93" t="s">
        <v>115</v>
      </c>
      <c r="K469" s="93" t="s">
        <v>373</v>
      </c>
      <c r="L469" s="93">
        <v>48</v>
      </c>
      <c r="M469" s="93">
        <f>96-L469</f>
        <v>48</v>
      </c>
    </row>
    <row r="470" spans="2:13" x14ac:dyDescent="0.35">
      <c r="B470" s="93"/>
      <c r="C470" s="64" t="s">
        <v>228</v>
      </c>
      <c r="D470" s="64"/>
      <c r="E470" s="73"/>
      <c r="F470" s="74">
        <v>89.032709999999994</v>
      </c>
      <c r="G470" s="75"/>
      <c r="H470" s="74">
        <v>75.860601000000003</v>
      </c>
      <c r="I470" s="75"/>
      <c r="J470" s="93"/>
      <c r="K470" s="93"/>
      <c r="L470" s="93"/>
      <c r="M470" s="93"/>
    </row>
    <row r="471" spans="2:13" x14ac:dyDescent="0.35">
      <c r="B471" s="93"/>
      <c r="C471" s="64" t="s">
        <v>229</v>
      </c>
      <c r="D471" s="64"/>
      <c r="E471" s="73"/>
      <c r="F471" s="77"/>
      <c r="G471" s="75"/>
      <c r="H471" s="77"/>
      <c r="I471" s="75"/>
      <c r="J471" s="93"/>
      <c r="K471" s="93"/>
      <c r="L471" s="93"/>
      <c r="M471" s="93"/>
    </row>
    <row r="472" spans="2:13" x14ac:dyDescent="0.35">
      <c r="B472" s="93">
        <v>50</v>
      </c>
      <c r="C472" s="64" t="s">
        <v>222</v>
      </c>
      <c r="D472" s="64" t="s">
        <v>112</v>
      </c>
      <c r="E472" s="73" t="s">
        <v>420</v>
      </c>
      <c r="F472" s="74">
        <v>23.211227999999998</v>
      </c>
      <c r="G472" s="73" t="s">
        <v>421</v>
      </c>
      <c r="H472" s="74">
        <v>23.907131</v>
      </c>
      <c r="I472" s="75">
        <v>3.73</v>
      </c>
      <c r="J472" s="93" t="s">
        <v>115</v>
      </c>
      <c r="K472" s="93" t="s">
        <v>373</v>
      </c>
      <c r="L472" s="93">
        <v>28</v>
      </c>
      <c r="M472" s="93">
        <f>48-L472</f>
        <v>20</v>
      </c>
    </row>
    <row r="473" spans="2:13" x14ac:dyDescent="0.35">
      <c r="B473" s="93"/>
      <c r="C473" s="64" t="s">
        <v>228</v>
      </c>
      <c r="D473" s="64"/>
      <c r="E473" s="75"/>
      <c r="F473" s="74">
        <v>75.860601000000003</v>
      </c>
      <c r="G473" s="75"/>
      <c r="H473" s="74">
        <v>89.128139000000004</v>
      </c>
      <c r="I473" s="75"/>
      <c r="J473" s="93"/>
      <c r="K473" s="93"/>
      <c r="L473" s="93"/>
      <c r="M473" s="93"/>
    </row>
    <row r="474" spans="2:13" x14ac:dyDescent="0.35">
      <c r="B474" s="93"/>
      <c r="C474" s="64" t="s">
        <v>229</v>
      </c>
      <c r="D474" s="64"/>
      <c r="E474" s="75"/>
      <c r="F474" s="77"/>
      <c r="G474" s="75"/>
      <c r="H474" s="77"/>
      <c r="I474" s="75"/>
      <c r="J474" s="93"/>
      <c r="K474" s="93"/>
      <c r="L474" s="93"/>
      <c r="M474" s="93"/>
    </row>
    <row r="475" spans="2:13" x14ac:dyDescent="0.35">
      <c r="B475" s="93">
        <v>51</v>
      </c>
      <c r="C475" s="64" t="s">
        <v>222</v>
      </c>
      <c r="D475" s="64" t="s">
        <v>112</v>
      </c>
      <c r="E475" s="73" t="s">
        <v>421</v>
      </c>
      <c r="F475" s="74">
        <v>23.907131</v>
      </c>
      <c r="G475" s="73" t="s">
        <v>422</v>
      </c>
      <c r="H475" s="74">
        <v>23.907131</v>
      </c>
      <c r="I475" s="75">
        <v>1.84</v>
      </c>
      <c r="J475" s="93" t="s">
        <v>115</v>
      </c>
      <c r="K475" s="93" t="s">
        <v>373</v>
      </c>
      <c r="L475" s="93">
        <v>28</v>
      </c>
      <c r="M475" s="93">
        <f>48-L475</f>
        <v>20</v>
      </c>
    </row>
    <row r="476" spans="2:13" x14ac:dyDescent="0.35">
      <c r="B476" s="93"/>
      <c r="C476" s="64" t="s">
        <v>228</v>
      </c>
      <c r="D476" s="64"/>
      <c r="E476" s="75"/>
      <c r="F476" s="74">
        <v>89.128139000000004</v>
      </c>
      <c r="G476" s="75"/>
      <c r="H476" s="74">
        <v>89.128139000000004</v>
      </c>
      <c r="I476" s="75"/>
      <c r="J476" s="93"/>
      <c r="K476" s="93"/>
      <c r="L476" s="93"/>
      <c r="M476" s="93"/>
    </row>
    <row r="477" spans="2:13" x14ac:dyDescent="0.35">
      <c r="B477" s="93"/>
      <c r="C477" s="64" t="s">
        <v>229</v>
      </c>
      <c r="D477" s="64"/>
      <c r="E477" s="75"/>
      <c r="F477" s="77"/>
      <c r="G477" s="75"/>
      <c r="H477" s="75"/>
      <c r="I477" s="75"/>
      <c r="J477" s="93"/>
      <c r="K477" s="93"/>
      <c r="L477" s="93"/>
      <c r="M477" s="93"/>
    </row>
    <row r="478" spans="2:13" x14ac:dyDescent="0.35">
      <c r="B478" s="93">
        <v>52</v>
      </c>
      <c r="C478" s="64" t="s">
        <v>222</v>
      </c>
      <c r="D478" s="64" t="s">
        <v>112</v>
      </c>
      <c r="E478" s="73" t="s">
        <v>422</v>
      </c>
      <c r="F478" s="74">
        <v>23.907131</v>
      </c>
      <c r="G478" s="73" t="s">
        <v>423</v>
      </c>
      <c r="H478" s="74">
        <v>23.877679993172499</v>
      </c>
      <c r="I478" s="75">
        <v>7.73</v>
      </c>
      <c r="J478" s="93" t="s">
        <v>115</v>
      </c>
      <c r="K478" s="93" t="s">
        <v>373</v>
      </c>
      <c r="L478" s="93">
        <v>28</v>
      </c>
      <c r="M478" s="93">
        <f>48-L478</f>
        <v>20</v>
      </c>
    </row>
    <row r="479" spans="2:13" x14ac:dyDescent="0.35">
      <c r="B479" s="93"/>
      <c r="C479" s="64" t="s">
        <v>228</v>
      </c>
      <c r="D479" s="64"/>
      <c r="E479" s="75"/>
      <c r="F479" s="74">
        <v>89.128139000000004</v>
      </c>
      <c r="G479" s="75"/>
      <c r="H479" s="74">
        <v>89.204846095085401</v>
      </c>
      <c r="I479" s="75"/>
      <c r="J479" s="93"/>
      <c r="K479" s="93"/>
      <c r="L479" s="93"/>
      <c r="M479" s="93"/>
    </row>
    <row r="480" spans="2:13" x14ac:dyDescent="0.35">
      <c r="B480" s="93"/>
      <c r="C480" s="64" t="s">
        <v>229</v>
      </c>
      <c r="D480" s="64"/>
      <c r="E480" s="75"/>
      <c r="F480" s="75"/>
      <c r="G480" s="75"/>
      <c r="H480" s="75"/>
      <c r="I480" s="75"/>
      <c r="J480" s="93"/>
      <c r="K480" s="93"/>
      <c r="L480" s="93"/>
      <c r="M480" s="93"/>
    </row>
    <row r="481" spans="2:13" x14ac:dyDescent="0.35">
      <c r="B481" s="93">
        <v>53</v>
      </c>
      <c r="C481" s="64" t="s">
        <v>222</v>
      </c>
      <c r="D481" s="64" t="s">
        <v>112</v>
      </c>
      <c r="E481" s="73" t="s">
        <v>423</v>
      </c>
      <c r="F481" s="74">
        <v>23.877679993172499</v>
      </c>
      <c r="G481" s="73" t="s">
        <v>424</v>
      </c>
      <c r="H481" s="74">
        <v>23.860431999999999</v>
      </c>
      <c r="I481" s="75">
        <v>3.96</v>
      </c>
      <c r="J481" s="93" t="s">
        <v>115</v>
      </c>
      <c r="K481" s="93" t="s">
        <v>373</v>
      </c>
      <c r="L481" s="93">
        <v>28</v>
      </c>
      <c r="M481" s="93">
        <f>48-L481</f>
        <v>20</v>
      </c>
    </row>
    <row r="482" spans="2:13" x14ac:dyDescent="0.35">
      <c r="B482" s="93"/>
      <c r="C482" s="64" t="s">
        <v>228</v>
      </c>
      <c r="D482" s="64"/>
      <c r="E482" s="75"/>
      <c r="F482" s="74">
        <v>89.204846095085401</v>
      </c>
      <c r="G482" s="75"/>
      <c r="H482" s="74">
        <v>89.241266999999993</v>
      </c>
      <c r="I482" s="75"/>
      <c r="J482" s="93"/>
      <c r="K482" s="93"/>
      <c r="L482" s="93"/>
      <c r="M482" s="93"/>
    </row>
    <row r="483" spans="2:13" x14ac:dyDescent="0.35">
      <c r="B483" s="93"/>
      <c r="C483" s="64" t="s">
        <v>229</v>
      </c>
      <c r="D483" s="64"/>
      <c r="E483" s="75"/>
      <c r="F483" s="75"/>
      <c r="G483" s="75"/>
      <c r="H483" s="77"/>
      <c r="I483" s="75"/>
      <c r="J483" s="93"/>
      <c r="K483" s="93"/>
      <c r="L483" s="93"/>
      <c r="M483" s="93"/>
    </row>
    <row r="484" spans="2:13" x14ac:dyDescent="0.35">
      <c r="B484" s="93">
        <v>54</v>
      </c>
      <c r="C484" s="64" t="s">
        <v>222</v>
      </c>
      <c r="D484" s="64" t="s">
        <v>112</v>
      </c>
      <c r="E484" s="73" t="s">
        <v>424</v>
      </c>
      <c r="F484" s="74">
        <v>23.860431999999999</v>
      </c>
      <c r="G484" s="73" t="s">
        <v>425</v>
      </c>
      <c r="H484" s="74">
        <v>23.830174</v>
      </c>
      <c r="I484" s="75">
        <v>7.32</v>
      </c>
      <c r="J484" s="93" t="s">
        <v>115</v>
      </c>
      <c r="K484" s="93" t="s">
        <v>373</v>
      </c>
      <c r="L484" s="93">
        <v>28</v>
      </c>
      <c r="M484" s="93">
        <f>48-L484</f>
        <v>20</v>
      </c>
    </row>
    <row r="485" spans="2:13" x14ac:dyDescent="0.35">
      <c r="B485" s="93"/>
      <c r="C485" s="64" t="s">
        <v>228</v>
      </c>
      <c r="D485" s="64"/>
      <c r="E485" s="75"/>
      <c r="F485" s="74">
        <v>89.241266999999993</v>
      </c>
      <c r="G485" s="75"/>
      <c r="H485" s="74">
        <v>89.304096000000001</v>
      </c>
      <c r="I485" s="75"/>
      <c r="J485" s="93"/>
      <c r="K485" s="93"/>
      <c r="L485" s="93"/>
      <c r="M485" s="93"/>
    </row>
    <row r="486" spans="2:13" x14ac:dyDescent="0.35">
      <c r="B486" s="93"/>
      <c r="C486" s="64" t="s">
        <v>229</v>
      </c>
      <c r="D486" s="64"/>
      <c r="E486" s="75"/>
      <c r="F486" s="75"/>
      <c r="G486" s="75"/>
      <c r="H486" s="75"/>
      <c r="I486" s="75"/>
      <c r="J486" s="93"/>
      <c r="K486" s="93"/>
      <c r="L486" s="93"/>
      <c r="M486" s="93"/>
    </row>
    <row r="487" spans="2:13" x14ac:dyDescent="0.35">
      <c r="B487" s="93">
        <v>55</v>
      </c>
      <c r="C487" s="64" t="s">
        <v>222</v>
      </c>
      <c r="D487" s="64" t="s">
        <v>112</v>
      </c>
      <c r="E487" s="73" t="s">
        <v>425</v>
      </c>
      <c r="F487" s="74">
        <v>23.830174</v>
      </c>
      <c r="G487" s="73" t="s">
        <v>426</v>
      </c>
      <c r="H487" s="74">
        <v>23.804517000000001</v>
      </c>
      <c r="I487" s="75">
        <v>6.2</v>
      </c>
      <c r="J487" s="93" t="s">
        <v>115</v>
      </c>
      <c r="K487" s="93" t="s">
        <v>373</v>
      </c>
      <c r="L487" s="93">
        <v>28</v>
      </c>
      <c r="M487" s="93">
        <f>48-L487</f>
        <v>20</v>
      </c>
    </row>
    <row r="488" spans="2:13" x14ac:dyDescent="0.35">
      <c r="B488" s="93"/>
      <c r="C488" s="64" t="s">
        <v>228</v>
      </c>
      <c r="D488" s="64"/>
      <c r="E488" s="75"/>
      <c r="F488" s="74">
        <v>89.304096000000001</v>
      </c>
      <c r="G488" s="75"/>
      <c r="H488" s="74">
        <v>89.357482000000005</v>
      </c>
      <c r="I488" s="75"/>
      <c r="J488" s="93"/>
      <c r="K488" s="93"/>
      <c r="L488" s="93"/>
      <c r="M488" s="93"/>
    </row>
    <row r="489" spans="2:13" x14ac:dyDescent="0.35">
      <c r="B489" s="93"/>
      <c r="C489" s="64" t="s">
        <v>229</v>
      </c>
      <c r="D489" s="64"/>
      <c r="E489" s="75"/>
      <c r="F489" s="75"/>
      <c r="G489" s="75"/>
      <c r="H489" s="75"/>
      <c r="I489" s="75"/>
      <c r="J489" s="93"/>
      <c r="K489" s="93"/>
      <c r="L489" s="93"/>
      <c r="M489" s="93"/>
    </row>
    <row r="490" spans="2:13" x14ac:dyDescent="0.35">
      <c r="B490" s="93">
        <v>56</v>
      </c>
      <c r="C490" s="64" t="s">
        <v>222</v>
      </c>
      <c r="D490" s="64" t="s">
        <v>112</v>
      </c>
      <c r="E490" s="73" t="s">
        <v>426</v>
      </c>
      <c r="F490" s="74">
        <v>23.804517000000001</v>
      </c>
      <c r="G490" s="73" t="s">
        <v>427</v>
      </c>
      <c r="H490" s="74">
        <v>23.786116</v>
      </c>
      <c r="I490" s="75">
        <v>5.86</v>
      </c>
      <c r="J490" s="93" t="s">
        <v>115</v>
      </c>
      <c r="K490" s="93" t="s">
        <v>373</v>
      </c>
      <c r="L490" s="93">
        <v>28</v>
      </c>
      <c r="M490" s="93">
        <f>48-L490</f>
        <v>20</v>
      </c>
    </row>
    <row r="491" spans="2:13" x14ac:dyDescent="0.35">
      <c r="B491" s="93"/>
      <c r="C491" s="64" t="s">
        <v>228</v>
      </c>
      <c r="D491" s="64"/>
      <c r="E491" s="75"/>
      <c r="F491" s="74">
        <v>89.357482000000005</v>
      </c>
      <c r="G491" s="75"/>
      <c r="H491" s="74">
        <v>89.41722</v>
      </c>
      <c r="I491" s="75"/>
      <c r="J491" s="93"/>
      <c r="K491" s="93"/>
      <c r="L491" s="93"/>
      <c r="M491" s="93"/>
    </row>
    <row r="492" spans="2:13" x14ac:dyDescent="0.35">
      <c r="B492" s="93"/>
      <c r="C492" s="64" t="s">
        <v>229</v>
      </c>
      <c r="D492" s="64"/>
      <c r="E492" s="75"/>
      <c r="F492" s="75"/>
      <c r="G492" s="75"/>
      <c r="H492" s="77"/>
      <c r="I492" s="75"/>
      <c r="J492" s="93"/>
      <c r="K492" s="93"/>
      <c r="L492" s="93"/>
      <c r="M492" s="93"/>
    </row>
    <row r="493" spans="2:13" x14ac:dyDescent="0.35">
      <c r="B493" s="93">
        <v>57</v>
      </c>
      <c r="C493" s="64" t="s">
        <v>222</v>
      </c>
      <c r="D493" s="64" t="s">
        <v>112</v>
      </c>
      <c r="E493" s="73" t="s">
        <v>427</v>
      </c>
      <c r="F493" s="74">
        <v>23.786116</v>
      </c>
      <c r="G493" s="73" t="s">
        <v>428</v>
      </c>
      <c r="H493" s="74">
        <v>23.768041</v>
      </c>
      <c r="I493" s="75">
        <v>7.75</v>
      </c>
      <c r="J493" s="93" t="s">
        <v>115</v>
      </c>
      <c r="K493" s="93" t="s">
        <v>373</v>
      </c>
      <c r="L493" s="93">
        <v>28</v>
      </c>
      <c r="M493" s="93">
        <f>48-L493</f>
        <v>20</v>
      </c>
    </row>
    <row r="494" spans="2:13" x14ac:dyDescent="0.35">
      <c r="B494" s="93"/>
      <c r="C494" s="64" t="s">
        <v>228</v>
      </c>
      <c r="D494" s="64"/>
      <c r="E494" s="75"/>
      <c r="F494" s="74">
        <v>89.41722</v>
      </c>
      <c r="G494" s="75"/>
      <c r="H494" s="74">
        <v>89.481048000000001</v>
      </c>
      <c r="I494" s="75"/>
      <c r="J494" s="93"/>
      <c r="K494" s="93"/>
      <c r="L494" s="93"/>
      <c r="M494" s="93"/>
    </row>
    <row r="495" spans="2:13" x14ac:dyDescent="0.35">
      <c r="B495" s="93"/>
      <c r="C495" s="64" t="s">
        <v>229</v>
      </c>
      <c r="D495" s="64"/>
      <c r="E495" s="75"/>
      <c r="F495" s="75"/>
      <c r="G495" s="75"/>
      <c r="H495" s="75"/>
      <c r="I495" s="75"/>
      <c r="J495" s="93"/>
      <c r="K495" s="93"/>
      <c r="L495" s="93"/>
      <c r="M495" s="93"/>
    </row>
    <row r="496" spans="2:13" x14ac:dyDescent="0.35">
      <c r="B496" s="93">
        <v>58</v>
      </c>
      <c r="C496" s="64" t="s">
        <v>222</v>
      </c>
      <c r="D496" s="64" t="s">
        <v>112</v>
      </c>
      <c r="E496" s="73" t="s">
        <v>428</v>
      </c>
      <c r="F496" s="74">
        <v>23.768041</v>
      </c>
      <c r="G496" s="73" t="s">
        <v>429</v>
      </c>
      <c r="H496" s="74">
        <v>23.686376302872301</v>
      </c>
      <c r="I496" s="75">
        <v>13.47</v>
      </c>
      <c r="J496" s="93" t="s">
        <v>115</v>
      </c>
      <c r="K496" s="93" t="s">
        <v>373</v>
      </c>
      <c r="L496" s="93">
        <v>8</v>
      </c>
      <c r="M496" s="93">
        <f>48-L496</f>
        <v>40</v>
      </c>
    </row>
    <row r="497" spans="2:13" x14ac:dyDescent="0.35">
      <c r="B497" s="93"/>
      <c r="C497" s="64" t="s">
        <v>228</v>
      </c>
      <c r="D497" s="64"/>
      <c r="E497" s="75"/>
      <c r="F497" s="74">
        <v>89.481048000000001</v>
      </c>
      <c r="G497" s="75"/>
      <c r="H497" s="74">
        <v>89.561555824276695</v>
      </c>
      <c r="I497" s="75"/>
      <c r="J497" s="93"/>
      <c r="K497" s="93"/>
      <c r="L497" s="93"/>
      <c r="M497" s="93"/>
    </row>
    <row r="498" spans="2:13" x14ac:dyDescent="0.35">
      <c r="B498" s="93"/>
      <c r="C498" s="64" t="s">
        <v>229</v>
      </c>
      <c r="D498" s="64"/>
      <c r="E498" s="75"/>
      <c r="F498" s="75"/>
      <c r="G498" s="75"/>
      <c r="H498" s="77"/>
      <c r="I498" s="75"/>
      <c r="J498" s="93"/>
      <c r="K498" s="93"/>
      <c r="L498" s="93"/>
      <c r="M498" s="93"/>
    </row>
    <row r="499" spans="2:13" x14ac:dyDescent="0.35">
      <c r="B499" s="93">
        <v>59</v>
      </c>
      <c r="C499" s="64" t="s">
        <v>222</v>
      </c>
      <c r="D499" s="64" t="s">
        <v>112</v>
      </c>
      <c r="E499" s="73" t="s">
        <v>429</v>
      </c>
      <c r="F499" s="74">
        <v>23.686376302872301</v>
      </c>
      <c r="G499" s="73" t="s">
        <v>430</v>
      </c>
      <c r="H499" s="74">
        <v>23.598814000000001</v>
      </c>
      <c r="I499" s="75">
        <v>11.26</v>
      </c>
      <c r="J499" s="93" t="s">
        <v>115</v>
      </c>
      <c r="K499" s="93" t="s">
        <v>373</v>
      </c>
      <c r="L499" s="93">
        <v>8</v>
      </c>
      <c r="M499" s="93">
        <f>48-L499</f>
        <v>40</v>
      </c>
    </row>
    <row r="500" spans="2:13" x14ac:dyDescent="0.35">
      <c r="B500" s="93"/>
      <c r="C500" s="64" t="s">
        <v>228</v>
      </c>
      <c r="D500" s="64"/>
      <c r="E500" s="75"/>
      <c r="F500" s="74">
        <v>89.561555824276695</v>
      </c>
      <c r="G500" s="75"/>
      <c r="H500" s="74">
        <v>89.606341999999998</v>
      </c>
      <c r="I500" s="75"/>
      <c r="J500" s="93"/>
      <c r="K500" s="93"/>
      <c r="L500" s="93"/>
      <c r="M500" s="93"/>
    </row>
    <row r="501" spans="2:13" x14ac:dyDescent="0.35">
      <c r="B501" s="93"/>
      <c r="C501" s="64" t="s">
        <v>229</v>
      </c>
      <c r="D501" s="64"/>
      <c r="E501" s="75"/>
      <c r="F501" s="75"/>
      <c r="G501" s="75"/>
      <c r="H501" s="75"/>
      <c r="I501" s="75"/>
      <c r="J501" s="93"/>
      <c r="K501" s="93"/>
      <c r="L501" s="93"/>
      <c r="M501" s="93"/>
    </row>
    <row r="502" spans="2:13" x14ac:dyDescent="0.35">
      <c r="B502" s="93">
        <v>60</v>
      </c>
      <c r="C502" s="64" t="s">
        <v>222</v>
      </c>
      <c r="D502" s="64" t="s">
        <v>112</v>
      </c>
      <c r="E502" s="73" t="s">
        <v>430</v>
      </c>
      <c r="F502" s="74">
        <v>23.598814000000001</v>
      </c>
      <c r="G502" s="73" t="s">
        <v>431</v>
      </c>
      <c r="H502" s="74">
        <v>23.546002000000001</v>
      </c>
      <c r="I502" s="75">
        <v>6.73</v>
      </c>
      <c r="J502" s="95" t="s">
        <v>115</v>
      </c>
      <c r="K502" s="93" t="s">
        <v>373</v>
      </c>
      <c r="L502" s="93">
        <v>8</v>
      </c>
      <c r="M502" s="93">
        <f>48-L502</f>
        <v>40</v>
      </c>
    </row>
    <row r="503" spans="2:13" x14ac:dyDescent="0.35">
      <c r="B503" s="93"/>
      <c r="C503" s="64" t="s">
        <v>228</v>
      </c>
      <c r="D503" s="64"/>
      <c r="E503" s="75"/>
      <c r="F503" s="74">
        <v>89.606341999999998</v>
      </c>
      <c r="G503" s="75"/>
      <c r="H503" s="74">
        <v>89.630754999999994</v>
      </c>
      <c r="I503" s="75"/>
      <c r="J503" s="95"/>
      <c r="K503" s="93"/>
      <c r="L503" s="93"/>
      <c r="M503" s="93"/>
    </row>
    <row r="504" spans="2:13" x14ac:dyDescent="0.35">
      <c r="B504" s="93"/>
      <c r="C504" s="64" t="s">
        <v>229</v>
      </c>
      <c r="D504" s="64"/>
      <c r="E504" s="75"/>
      <c r="F504" s="75"/>
      <c r="G504" s="75"/>
      <c r="H504" s="75"/>
      <c r="I504" s="75"/>
      <c r="J504" s="95"/>
      <c r="K504" s="93"/>
      <c r="L504" s="93"/>
      <c r="M504" s="93"/>
    </row>
    <row r="505" spans="2:13" x14ac:dyDescent="0.35">
      <c r="B505" s="93">
        <v>61</v>
      </c>
      <c r="C505" s="64" t="s">
        <v>222</v>
      </c>
      <c r="D505" s="64" t="s">
        <v>112</v>
      </c>
      <c r="E505" s="73" t="s">
        <v>431</v>
      </c>
      <c r="F505" s="74">
        <v>23.546002000000001</v>
      </c>
      <c r="G505" s="73" t="s">
        <v>432</v>
      </c>
      <c r="H505" s="74">
        <v>23.4346591065562</v>
      </c>
      <c r="I505" s="75">
        <v>13.34</v>
      </c>
      <c r="J505" s="95" t="s">
        <v>115</v>
      </c>
      <c r="K505" s="93" t="s">
        <v>373</v>
      </c>
      <c r="L505" s="93">
        <v>8</v>
      </c>
      <c r="M505" s="93">
        <f>48-L505</f>
        <v>40</v>
      </c>
    </row>
    <row r="506" spans="2:13" x14ac:dyDescent="0.35">
      <c r="B506" s="93"/>
      <c r="C506" s="64" t="s">
        <v>228</v>
      </c>
      <c r="D506" s="64"/>
      <c r="E506" s="75"/>
      <c r="F506" s="74">
        <v>89.630754999999994</v>
      </c>
      <c r="G506" s="75"/>
      <c r="H506" s="74">
        <v>89.664860284043598</v>
      </c>
      <c r="I506" s="75"/>
      <c r="J506" s="95"/>
      <c r="K506" s="93"/>
      <c r="L506" s="93"/>
      <c r="M506" s="93"/>
    </row>
    <row r="507" spans="2:13" x14ac:dyDescent="0.35">
      <c r="B507" s="93"/>
      <c r="C507" s="64" t="s">
        <v>229</v>
      </c>
      <c r="D507" s="64"/>
      <c r="E507" s="75"/>
      <c r="F507" s="75"/>
      <c r="G507" s="75"/>
      <c r="H507" s="75"/>
      <c r="I507" s="75"/>
      <c r="J507" s="95"/>
      <c r="K507" s="93"/>
      <c r="L507" s="93"/>
      <c r="M507" s="93"/>
    </row>
    <row r="508" spans="2:13" x14ac:dyDescent="0.35">
      <c r="B508" s="93">
        <v>62</v>
      </c>
      <c r="C508" s="64" t="s">
        <v>222</v>
      </c>
      <c r="D508" s="64" t="s">
        <v>112</v>
      </c>
      <c r="E508" s="73" t="s">
        <v>432</v>
      </c>
      <c r="F508" s="74">
        <v>23.4346591065562</v>
      </c>
      <c r="G508" s="73" t="s">
        <v>433</v>
      </c>
      <c r="H508" s="74">
        <v>23.389838248912501</v>
      </c>
      <c r="I508" s="75">
        <v>5.52</v>
      </c>
      <c r="J508" s="93" t="s">
        <v>115</v>
      </c>
      <c r="K508" s="93" t="s">
        <v>373</v>
      </c>
      <c r="L508" s="93">
        <v>8</v>
      </c>
      <c r="M508" s="93">
        <f>48-L508</f>
        <v>40</v>
      </c>
    </row>
    <row r="509" spans="2:13" x14ac:dyDescent="0.35">
      <c r="B509" s="93"/>
      <c r="C509" s="64" t="s">
        <v>228</v>
      </c>
      <c r="D509" s="64"/>
      <c r="E509" s="75"/>
      <c r="F509" s="74">
        <v>89.664860284043598</v>
      </c>
      <c r="G509" s="75"/>
      <c r="H509" s="74">
        <v>89.687672154255296</v>
      </c>
      <c r="I509" s="75"/>
      <c r="J509" s="93"/>
      <c r="K509" s="93"/>
      <c r="L509" s="93"/>
      <c r="M509" s="93"/>
    </row>
    <row r="510" spans="2:13" x14ac:dyDescent="0.35">
      <c r="B510" s="93"/>
      <c r="C510" s="64" t="s">
        <v>229</v>
      </c>
      <c r="D510" s="64"/>
      <c r="E510" s="75"/>
      <c r="F510" s="75"/>
      <c r="G510" s="75"/>
      <c r="H510" s="75"/>
      <c r="I510" s="75"/>
      <c r="J510" s="93"/>
      <c r="K510" s="93"/>
      <c r="L510" s="93"/>
      <c r="M510" s="93"/>
    </row>
    <row r="511" spans="2:13" x14ac:dyDescent="0.35">
      <c r="B511" s="93">
        <v>63</v>
      </c>
      <c r="C511" s="64" t="s">
        <v>222</v>
      </c>
      <c r="D511" s="64" t="s">
        <v>112</v>
      </c>
      <c r="E511" s="73" t="s">
        <v>433</v>
      </c>
      <c r="F511" s="74">
        <v>23.389838248912501</v>
      </c>
      <c r="G511" s="73" t="s">
        <v>434</v>
      </c>
      <c r="H511" s="74">
        <v>23.321744712276899</v>
      </c>
      <c r="I511" s="75">
        <v>8.43</v>
      </c>
      <c r="J511" s="93" t="s">
        <v>115</v>
      </c>
      <c r="K511" s="93" t="s">
        <v>373</v>
      </c>
      <c r="L511" s="93">
        <v>8</v>
      </c>
      <c r="M511" s="93">
        <f>48-L511</f>
        <v>40</v>
      </c>
    </row>
    <row r="512" spans="2:13" x14ac:dyDescent="0.35">
      <c r="B512" s="93"/>
      <c r="C512" s="64" t="s">
        <v>228</v>
      </c>
      <c r="D512" s="64"/>
      <c r="E512" s="75"/>
      <c r="F512" s="74">
        <v>89.687672154255296</v>
      </c>
      <c r="G512" s="75"/>
      <c r="H512" s="74">
        <v>89.7202005126138</v>
      </c>
      <c r="I512" s="75"/>
      <c r="J512" s="93"/>
      <c r="K512" s="93"/>
      <c r="L512" s="93"/>
      <c r="M512" s="93"/>
    </row>
    <row r="513" spans="2:13" x14ac:dyDescent="0.35">
      <c r="B513" s="93"/>
      <c r="C513" s="64" t="s">
        <v>229</v>
      </c>
      <c r="D513" s="64"/>
      <c r="E513" s="75"/>
      <c r="F513" s="75"/>
      <c r="G513" s="75"/>
      <c r="H513" s="75"/>
      <c r="I513" s="75"/>
      <c r="J513" s="93"/>
      <c r="K513" s="93"/>
      <c r="L513" s="93"/>
      <c r="M513" s="93"/>
    </row>
    <row r="514" spans="2:13" x14ac:dyDescent="0.35">
      <c r="B514" s="93">
        <v>64</v>
      </c>
      <c r="C514" s="64" t="s">
        <v>222</v>
      </c>
      <c r="D514" s="64" t="s">
        <v>112</v>
      </c>
      <c r="E514" s="73" t="s">
        <v>434</v>
      </c>
      <c r="F514" s="74">
        <v>23.321744712276899</v>
      </c>
      <c r="G514" s="73" t="s">
        <v>391</v>
      </c>
      <c r="H514" s="74">
        <v>23.233685008349799</v>
      </c>
      <c r="I514" s="75">
        <v>12.26</v>
      </c>
      <c r="J514" s="93" t="s">
        <v>115</v>
      </c>
      <c r="K514" s="93" t="s">
        <v>373</v>
      </c>
      <c r="L514" s="93">
        <v>8</v>
      </c>
      <c r="M514" s="93">
        <f>48-L514</f>
        <v>40</v>
      </c>
    </row>
    <row r="515" spans="2:13" x14ac:dyDescent="0.35">
      <c r="B515" s="93"/>
      <c r="C515" s="64" t="s">
        <v>228</v>
      </c>
      <c r="D515" s="64"/>
      <c r="E515" s="75"/>
      <c r="F515" s="74">
        <v>89.7202005126138</v>
      </c>
      <c r="G515" s="75"/>
      <c r="H515" s="74">
        <v>89.725044628318102</v>
      </c>
      <c r="I515" s="75"/>
      <c r="J515" s="93"/>
      <c r="K515" s="93"/>
      <c r="L515" s="93"/>
      <c r="M515" s="93"/>
    </row>
    <row r="516" spans="2:13" x14ac:dyDescent="0.35">
      <c r="B516" s="93"/>
      <c r="C516" s="64" t="s">
        <v>229</v>
      </c>
      <c r="D516" s="64"/>
      <c r="E516" s="75"/>
      <c r="F516" s="75"/>
      <c r="G516" s="75"/>
      <c r="H516" s="77"/>
      <c r="I516" s="75"/>
      <c r="J516" s="93"/>
      <c r="K516" s="93"/>
      <c r="L516" s="93"/>
      <c r="M516" s="93"/>
    </row>
    <row r="517" spans="2:13" x14ac:dyDescent="0.35">
      <c r="B517" s="93">
        <v>65</v>
      </c>
      <c r="C517" s="64" t="s">
        <v>222</v>
      </c>
      <c r="D517" s="64" t="s">
        <v>112</v>
      </c>
      <c r="E517" s="73" t="s">
        <v>391</v>
      </c>
      <c r="F517" s="74">
        <v>23.233685008349799</v>
      </c>
      <c r="G517" s="73" t="s">
        <v>435</v>
      </c>
      <c r="H517" s="74">
        <v>23.2130030096871</v>
      </c>
      <c r="I517" s="75">
        <v>3.34</v>
      </c>
      <c r="J517" s="93" t="s">
        <v>115</v>
      </c>
      <c r="K517" s="93" t="s">
        <v>373</v>
      </c>
      <c r="L517" s="93">
        <v>6</v>
      </c>
      <c r="M517" s="93">
        <f>48-L517</f>
        <v>42</v>
      </c>
    </row>
    <row r="518" spans="2:13" x14ac:dyDescent="0.35">
      <c r="B518" s="93"/>
      <c r="C518" s="64" t="s">
        <v>228</v>
      </c>
      <c r="D518" s="64"/>
      <c r="E518" s="75"/>
      <c r="F518" s="74">
        <v>89.725044628318102</v>
      </c>
      <c r="G518" s="75"/>
      <c r="H518" s="74">
        <v>89.699432484441104</v>
      </c>
      <c r="I518" s="75"/>
      <c r="J518" s="93"/>
      <c r="K518" s="93"/>
      <c r="L518" s="93"/>
      <c r="M518" s="93"/>
    </row>
    <row r="519" spans="2:13" x14ac:dyDescent="0.35">
      <c r="B519" s="93"/>
      <c r="C519" s="64" t="s">
        <v>229</v>
      </c>
      <c r="D519" s="64"/>
      <c r="E519" s="75"/>
      <c r="F519" s="75"/>
      <c r="G519" s="75"/>
      <c r="H519" s="77"/>
      <c r="I519" s="75"/>
      <c r="J519" s="93"/>
      <c r="K519" s="93"/>
      <c r="L519" s="93"/>
      <c r="M519" s="93"/>
    </row>
    <row r="520" spans="2:13" x14ac:dyDescent="0.35">
      <c r="B520" s="93">
        <v>66</v>
      </c>
      <c r="C520" s="64" t="s">
        <v>222</v>
      </c>
      <c r="D520" s="64" t="s">
        <v>112</v>
      </c>
      <c r="E520" s="73" t="s">
        <v>391</v>
      </c>
      <c r="F520" s="74">
        <v>23.233685008349799</v>
      </c>
      <c r="G520" s="73" t="s">
        <v>436</v>
      </c>
      <c r="H520" s="74">
        <v>23.197782865969799</v>
      </c>
      <c r="I520" s="75">
        <v>3.59</v>
      </c>
      <c r="J520" s="93" t="s">
        <v>115</v>
      </c>
      <c r="K520" s="93" t="s">
        <v>373</v>
      </c>
      <c r="L520" s="93">
        <v>8</v>
      </c>
      <c r="M520" s="93">
        <f>48-L520</f>
        <v>40</v>
      </c>
    </row>
    <row r="521" spans="2:13" x14ac:dyDescent="0.35">
      <c r="B521" s="93"/>
      <c r="C521" s="64" t="s">
        <v>228</v>
      </c>
      <c r="D521" s="64"/>
      <c r="E521" s="75"/>
      <c r="F521" s="74">
        <v>89.725044628318102</v>
      </c>
      <c r="G521" s="75"/>
      <c r="H521" s="74">
        <v>89.752077422122596</v>
      </c>
      <c r="I521" s="75"/>
      <c r="J521" s="93"/>
      <c r="K521" s="93"/>
      <c r="L521" s="93"/>
      <c r="M521" s="93"/>
    </row>
    <row r="522" spans="2:13" x14ac:dyDescent="0.35">
      <c r="B522" s="93"/>
      <c r="C522" s="64" t="s">
        <v>229</v>
      </c>
      <c r="D522" s="64"/>
      <c r="E522" s="75"/>
      <c r="F522" s="75"/>
      <c r="G522" s="75"/>
      <c r="H522" s="75"/>
      <c r="I522" s="75"/>
      <c r="J522" s="93"/>
      <c r="K522" s="93"/>
      <c r="L522" s="93"/>
      <c r="M522" s="93"/>
    </row>
    <row r="523" spans="2:13" x14ac:dyDescent="0.35">
      <c r="B523" s="93">
        <v>67</v>
      </c>
      <c r="C523" s="64" t="s">
        <v>222</v>
      </c>
      <c r="D523" s="64" t="s">
        <v>112</v>
      </c>
      <c r="E523" s="73" t="s">
        <v>436</v>
      </c>
      <c r="F523" s="74">
        <v>23.197782865969799</v>
      </c>
      <c r="G523" s="73" t="s">
        <v>437</v>
      </c>
      <c r="H523" s="74">
        <v>23.1409034156773</v>
      </c>
      <c r="I523" s="75">
        <v>8.35</v>
      </c>
      <c r="J523" s="93" t="s">
        <v>115</v>
      </c>
      <c r="K523" s="93" t="s">
        <v>373</v>
      </c>
      <c r="L523" s="93">
        <v>8</v>
      </c>
      <c r="M523" s="93">
        <f>48-L523</f>
        <v>40</v>
      </c>
    </row>
    <row r="524" spans="2:13" x14ac:dyDescent="0.35">
      <c r="B524" s="93"/>
      <c r="C524" s="64" t="s">
        <v>228</v>
      </c>
      <c r="D524" s="64"/>
      <c r="E524" s="75"/>
      <c r="F524" s="74">
        <v>89.752077422122596</v>
      </c>
      <c r="G524" s="75"/>
      <c r="H524" s="74">
        <v>89.781571852930099</v>
      </c>
      <c r="I524" s="75"/>
      <c r="J524" s="93"/>
      <c r="K524" s="93"/>
      <c r="L524" s="93"/>
      <c r="M524" s="93"/>
    </row>
    <row r="525" spans="2:13" x14ac:dyDescent="0.35">
      <c r="B525" s="93"/>
      <c r="C525" s="64" t="s">
        <v>229</v>
      </c>
      <c r="D525" s="64"/>
      <c r="E525" s="75"/>
      <c r="F525" s="75"/>
      <c r="G525" s="75"/>
      <c r="H525" s="75"/>
      <c r="I525" s="75"/>
      <c r="J525" s="93"/>
      <c r="K525" s="93"/>
      <c r="L525" s="93"/>
      <c r="M525" s="93"/>
    </row>
    <row r="526" spans="2:13" x14ac:dyDescent="0.35">
      <c r="B526" s="93">
        <v>68</v>
      </c>
      <c r="C526" s="64" t="s">
        <v>222</v>
      </c>
      <c r="D526" s="64" t="s">
        <v>112</v>
      </c>
      <c r="E526" s="73" t="s">
        <v>437</v>
      </c>
      <c r="F526" s="74">
        <v>23.1409034156773</v>
      </c>
      <c r="G526" s="73" t="s">
        <v>438</v>
      </c>
      <c r="H526" s="74">
        <v>23.073450896363799</v>
      </c>
      <c r="I526" s="75">
        <v>7.5</v>
      </c>
      <c r="J526" s="93" t="s">
        <v>115</v>
      </c>
      <c r="K526" s="93" t="s">
        <v>373</v>
      </c>
      <c r="L526" s="93">
        <v>8</v>
      </c>
      <c r="M526" s="93">
        <f>48-L526</f>
        <v>40</v>
      </c>
    </row>
    <row r="527" spans="2:13" x14ac:dyDescent="0.35">
      <c r="B527" s="93"/>
      <c r="C527" s="64" t="s">
        <v>228</v>
      </c>
      <c r="D527" s="64"/>
      <c r="E527" s="75"/>
      <c r="F527" s="74">
        <v>89.781571852930099</v>
      </c>
      <c r="G527" s="75"/>
      <c r="H527" s="74">
        <v>89.776809525768996</v>
      </c>
      <c r="I527" s="75"/>
      <c r="J527" s="93"/>
      <c r="K527" s="93"/>
      <c r="L527" s="93"/>
      <c r="M527" s="93"/>
    </row>
    <row r="528" spans="2:13" x14ac:dyDescent="0.35">
      <c r="B528" s="93"/>
      <c r="C528" s="64" t="s">
        <v>229</v>
      </c>
      <c r="D528" s="64"/>
      <c r="E528" s="75"/>
      <c r="F528" s="75"/>
      <c r="G528" s="75"/>
      <c r="H528" s="75"/>
      <c r="I528" s="75"/>
      <c r="J528" s="93"/>
      <c r="K528" s="93"/>
      <c r="L528" s="93"/>
      <c r="M528" s="93"/>
    </row>
    <row r="529" spans="2:13" x14ac:dyDescent="0.35">
      <c r="B529" s="93">
        <v>69</v>
      </c>
      <c r="C529" s="64" t="s">
        <v>222</v>
      </c>
      <c r="D529" s="64" t="s">
        <v>112</v>
      </c>
      <c r="E529" s="73" t="s">
        <v>438</v>
      </c>
      <c r="F529" s="74">
        <v>23.073450896363799</v>
      </c>
      <c r="G529" s="73" t="s">
        <v>439</v>
      </c>
      <c r="H529" s="74">
        <v>23.033958753469101</v>
      </c>
      <c r="I529" s="75">
        <v>8.85</v>
      </c>
      <c r="J529" s="93" t="s">
        <v>115</v>
      </c>
      <c r="K529" s="93" t="s">
        <v>373</v>
      </c>
      <c r="L529" s="93">
        <v>8</v>
      </c>
      <c r="M529" s="93">
        <f>48-L529</f>
        <v>40</v>
      </c>
    </row>
    <row r="530" spans="2:13" x14ac:dyDescent="0.35">
      <c r="B530" s="93"/>
      <c r="C530" s="64" t="s">
        <v>228</v>
      </c>
      <c r="D530" s="64"/>
      <c r="E530" s="75"/>
      <c r="F530" s="74">
        <v>89.776809525768996</v>
      </c>
      <c r="G530" s="75"/>
      <c r="H530" s="74">
        <v>89.840051348032802</v>
      </c>
      <c r="I530" s="75"/>
      <c r="J530" s="93"/>
      <c r="K530" s="93"/>
      <c r="L530" s="93"/>
      <c r="M530" s="93"/>
    </row>
    <row r="531" spans="2:13" x14ac:dyDescent="0.35">
      <c r="B531" s="93"/>
      <c r="C531" s="64" t="s">
        <v>229</v>
      </c>
      <c r="D531" s="64"/>
      <c r="E531" s="75"/>
      <c r="F531" s="75"/>
      <c r="G531" s="75"/>
      <c r="H531" s="77"/>
      <c r="I531" s="75"/>
      <c r="J531" s="93"/>
      <c r="K531" s="93"/>
      <c r="L531" s="93"/>
      <c r="M531" s="93"/>
    </row>
    <row r="532" spans="2:13" x14ac:dyDescent="0.35">
      <c r="B532" s="93">
        <v>70</v>
      </c>
      <c r="C532" s="64" t="s">
        <v>222</v>
      </c>
      <c r="D532" s="64" t="s">
        <v>112</v>
      </c>
      <c r="E532" s="73" t="s">
        <v>439</v>
      </c>
      <c r="F532" s="74">
        <v>23.033958753469101</v>
      </c>
      <c r="G532" s="73" t="s">
        <v>440</v>
      </c>
      <c r="H532" s="74">
        <v>22.995028622745298</v>
      </c>
      <c r="I532" s="75">
        <v>5.71</v>
      </c>
      <c r="J532" s="93" t="s">
        <v>115</v>
      </c>
      <c r="K532" s="93" t="s">
        <v>373</v>
      </c>
      <c r="L532" s="93">
        <v>6</v>
      </c>
      <c r="M532" s="93">
        <f>48-L532</f>
        <v>42</v>
      </c>
    </row>
    <row r="533" spans="2:13" x14ac:dyDescent="0.35">
      <c r="B533" s="93"/>
      <c r="C533" s="64" t="s">
        <v>228</v>
      </c>
      <c r="D533" s="64"/>
      <c r="E533" s="75"/>
      <c r="F533" s="74">
        <v>89.840051348032802</v>
      </c>
      <c r="G533" s="75"/>
      <c r="H533" s="74">
        <v>89.842477460963394</v>
      </c>
      <c r="I533" s="75"/>
      <c r="J533" s="93"/>
      <c r="K533" s="93"/>
      <c r="L533" s="93"/>
      <c r="M533" s="93"/>
    </row>
    <row r="534" spans="2:13" x14ac:dyDescent="0.35">
      <c r="B534" s="93"/>
      <c r="C534" s="64" t="s">
        <v>229</v>
      </c>
      <c r="D534" s="64"/>
      <c r="E534" s="75"/>
      <c r="F534" s="75"/>
      <c r="G534" s="75"/>
      <c r="H534" s="77"/>
      <c r="I534" s="75"/>
      <c r="J534" s="93"/>
      <c r="K534" s="93"/>
      <c r="L534" s="93"/>
      <c r="M534" s="93"/>
    </row>
    <row r="535" spans="2:13" x14ac:dyDescent="0.35">
      <c r="B535" s="93">
        <v>71</v>
      </c>
      <c r="C535" s="64" t="s">
        <v>222</v>
      </c>
      <c r="D535" s="64" t="s">
        <v>112</v>
      </c>
      <c r="E535" s="73" t="s">
        <v>440</v>
      </c>
      <c r="F535" s="74">
        <v>22.995028622745298</v>
      </c>
      <c r="G535" s="73" t="s">
        <v>441</v>
      </c>
      <c r="H535" s="74">
        <v>22.947938443492799</v>
      </c>
      <c r="I535" s="75">
        <v>5.79</v>
      </c>
      <c r="J535" s="93" t="s">
        <v>115</v>
      </c>
      <c r="K535" s="93" t="s">
        <v>373</v>
      </c>
      <c r="L535" s="93">
        <v>6</v>
      </c>
      <c r="M535" s="93">
        <f>48-L535</f>
        <v>42</v>
      </c>
    </row>
    <row r="536" spans="2:13" x14ac:dyDescent="0.35">
      <c r="B536" s="93"/>
      <c r="C536" s="64" t="s">
        <v>228</v>
      </c>
      <c r="D536" s="64"/>
      <c r="E536" s="75"/>
      <c r="F536" s="74">
        <v>89.842477460963394</v>
      </c>
      <c r="G536" s="75"/>
      <c r="H536" s="74">
        <v>89.829143570665195</v>
      </c>
      <c r="I536" s="75"/>
      <c r="J536" s="93"/>
      <c r="K536" s="93"/>
      <c r="L536" s="93"/>
      <c r="M536" s="93"/>
    </row>
    <row r="537" spans="2:13" x14ac:dyDescent="0.35">
      <c r="B537" s="93"/>
      <c r="C537" s="64" t="s">
        <v>229</v>
      </c>
      <c r="D537" s="64"/>
      <c r="E537" s="75"/>
      <c r="F537" s="75"/>
      <c r="G537" s="75"/>
      <c r="H537" s="77"/>
      <c r="I537" s="75"/>
      <c r="J537" s="93"/>
      <c r="K537" s="93"/>
      <c r="L537" s="93"/>
      <c r="M537" s="93"/>
    </row>
    <row r="538" spans="2:13" x14ac:dyDescent="0.35">
      <c r="B538" s="93">
        <v>72</v>
      </c>
      <c r="C538" s="64" t="s">
        <v>222</v>
      </c>
      <c r="D538" s="64" t="s">
        <v>112</v>
      </c>
      <c r="E538" s="73" t="s">
        <v>428</v>
      </c>
      <c r="F538" s="74">
        <v>23.768041</v>
      </c>
      <c r="G538" s="73" t="s">
        <v>442</v>
      </c>
      <c r="H538" s="74">
        <v>22.605813000000001</v>
      </c>
      <c r="I538" s="75">
        <v>6.69</v>
      </c>
      <c r="J538" s="93" t="s">
        <v>115</v>
      </c>
      <c r="K538" s="93" t="s">
        <v>373</v>
      </c>
      <c r="L538" s="93">
        <v>28</v>
      </c>
      <c r="M538" s="93">
        <f>48-L538</f>
        <v>20</v>
      </c>
    </row>
    <row r="539" spans="2:13" x14ac:dyDescent="0.35">
      <c r="B539" s="93"/>
      <c r="C539" s="64" t="s">
        <v>228</v>
      </c>
      <c r="D539" s="64"/>
      <c r="E539" s="75"/>
      <c r="F539" s="74">
        <v>89.481048000000001</v>
      </c>
      <c r="G539" s="75"/>
      <c r="H539" s="74">
        <v>88.386099999999999</v>
      </c>
      <c r="I539" s="75"/>
      <c r="J539" s="93"/>
      <c r="K539" s="93"/>
      <c r="L539" s="93"/>
      <c r="M539" s="93"/>
    </row>
    <row r="540" spans="2:13" x14ac:dyDescent="0.35">
      <c r="B540" s="93"/>
      <c r="C540" s="64" t="s">
        <v>229</v>
      </c>
      <c r="D540" s="64"/>
      <c r="E540" s="75"/>
      <c r="F540" s="75"/>
      <c r="G540" s="75"/>
      <c r="H540" s="77"/>
      <c r="I540" s="75"/>
      <c r="J540" s="93"/>
      <c r="K540" s="93"/>
      <c r="L540" s="93"/>
      <c r="M540" s="93"/>
    </row>
    <row r="541" spans="2:13" x14ac:dyDescent="0.35">
      <c r="B541" s="93">
        <v>73</v>
      </c>
      <c r="C541" s="64" t="s">
        <v>222</v>
      </c>
      <c r="D541" s="64" t="s">
        <v>112</v>
      </c>
      <c r="E541" s="73" t="s">
        <v>442</v>
      </c>
      <c r="F541" s="74">
        <v>22.605813000000001</v>
      </c>
      <c r="G541" s="73" t="s">
        <v>443</v>
      </c>
      <c r="H541" s="74">
        <v>23.762912</v>
      </c>
      <c r="I541" s="75">
        <v>10.79</v>
      </c>
      <c r="J541" s="93" t="s">
        <v>115</v>
      </c>
      <c r="K541" s="93" t="s">
        <v>373</v>
      </c>
      <c r="L541" s="93">
        <v>28</v>
      </c>
      <c r="M541" s="93">
        <f>48-L541</f>
        <v>20</v>
      </c>
    </row>
    <row r="542" spans="2:13" x14ac:dyDescent="0.35">
      <c r="B542" s="93"/>
      <c r="C542" s="64" t="s">
        <v>228</v>
      </c>
      <c r="D542" s="64"/>
      <c r="E542" s="75"/>
      <c r="F542" s="74">
        <v>88.386099999999999</v>
      </c>
      <c r="G542" s="75"/>
      <c r="H542" s="74">
        <v>89.645178000000001</v>
      </c>
      <c r="I542" s="75"/>
      <c r="J542" s="93"/>
      <c r="K542" s="93"/>
      <c r="L542" s="93"/>
      <c r="M542" s="93"/>
    </row>
    <row r="543" spans="2:13" x14ac:dyDescent="0.35">
      <c r="B543" s="93"/>
      <c r="C543" s="64" t="s">
        <v>229</v>
      </c>
      <c r="D543" s="64"/>
      <c r="E543" s="75"/>
      <c r="F543" s="75"/>
      <c r="G543" s="75"/>
      <c r="H543" s="77"/>
      <c r="I543" s="75"/>
      <c r="J543" s="93"/>
      <c r="K543" s="93"/>
      <c r="L543" s="93"/>
      <c r="M543" s="93"/>
    </row>
    <row r="544" spans="2:13" x14ac:dyDescent="0.35">
      <c r="B544" s="93">
        <v>74</v>
      </c>
      <c r="C544" s="64" t="s">
        <v>222</v>
      </c>
      <c r="D544" s="64" t="s">
        <v>112</v>
      </c>
      <c r="E544" s="73" t="s">
        <v>443</v>
      </c>
      <c r="F544" s="74">
        <v>23.762912</v>
      </c>
      <c r="G544" s="73" t="s">
        <v>444</v>
      </c>
      <c r="H544" s="74">
        <v>23.7473780200839</v>
      </c>
      <c r="I544" s="75">
        <v>7.1</v>
      </c>
      <c r="J544" s="93" t="s">
        <v>115</v>
      </c>
      <c r="K544" s="93" t="s">
        <v>373</v>
      </c>
      <c r="L544" s="93">
        <v>28</v>
      </c>
      <c r="M544" s="93">
        <f>48-L544</f>
        <v>20</v>
      </c>
    </row>
    <row r="545" spans="2:13" x14ac:dyDescent="0.35">
      <c r="B545" s="93"/>
      <c r="C545" s="64" t="s">
        <v>228</v>
      </c>
      <c r="D545" s="64"/>
      <c r="E545" s="75"/>
      <c r="F545" s="74">
        <v>89.645178000000001</v>
      </c>
      <c r="G545" s="75"/>
      <c r="H545" s="74">
        <v>89.712185969108901</v>
      </c>
      <c r="I545" s="75"/>
      <c r="J545" s="93"/>
      <c r="K545" s="93"/>
      <c r="L545" s="93"/>
      <c r="M545" s="93"/>
    </row>
    <row r="546" spans="2:13" x14ac:dyDescent="0.35">
      <c r="B546" s="93"/>
      <c r="C546" s="64" t="s">
        <v>229</v>
      </c>
      <c r="D546" s="64"/>
      <c r="E546" s="75"/>
      <c r="F546" s="75"/>
      <c r="G546" s="75"/>
      <c r="H546" s="77"/>
      <c r="I546" s="75"/>
      <c r="J546" s="93"/>
      <c r="K546" s="93"/>
      <c r="L546" s="93"/>
      <c r="M546" s="93"/>
    </row>
    <row r="547" spans="2:13" x14ac:dyDescent="0.35">
      <c r="B547" s="93">
        <v>75</v>
      </c>
      <c r="C547" s="64" t="s">
        <v>222</v>
      </c>
      <c r="D547" s="64" t="s">
        <v>112</v>
      </c>
      <c r="E547" s="73" t="s">
        <v>444</v>
      </c>
      <c r="F547" s="74">
        <v>23.7473780200839</v>
      </c>
      <c r="G547" s="73" t="s">
        <v>445</v>
      </c>
      <c r="H547" s="74">
        <v>23.724117129645599</v>
      </c>
      <c r="I547" s="75">
        <v>7.02</v>
      </c>
      <c r="J547" s="93" t="s">
        <v>115</v>
      </c>
      <c r="K547" s="93" t="s">
        <v>373</v>
      </c>
      <c r="L547" s="93">
        <v>6</v>
      </c>
      <c r="M547" s="93">
        <f>48-L547</f>
        <v>42</v>
      </c>
    </row>
    <row r="548" spans="2:13" x14ac:dyDescent="0.35">
      <c r="B548" s="93"/>
      <c r="C548" s="64" t="s">
        <v>228</v>
      </c>
      <c r="D548" s="64"/>
      <c r="E548" s="75"/>
      <c r="F548" s="74">
        <v>89.712185969108901</v>
      </c>
      <c r="G548" s="75"/>
      <c r="H548" s="74">
        <v>89.764242979825596</v>
      </c>
      <c r="I548" s="75"/>
      <c r="J548" s="93"/>
      <c r="K548" s="93"/>
      <c r="L548" s="93"/>
      <c r="M548" s="93"/>
    </row>
    <row r="549" spans="2:13" x14ac:dyDescent="0.35">
      <c r="B549" s="93"/>
      <c r="C549" s="64" t="s">
        <v>229</v>
      </c>
      <c r="D549" s="64"/>
      <c r="E549" s="75"/>
      <c r="F549" s="75"/>
      <c r="G549" s="75"/>
      <c r="H549" s="77"/>
      <c r="I549" s="75"/>
      <c r="J549" s="93"/>
      <c r="K549" s="93"/>
      <c r="L549" s="93"/>
      <c r="M549" s="93"/>
    </row>
    <row r="550" spans="2:13" x14ac:dyDescent="0.35">
      <c r="B550" s="93">
        <v>76</v>
      </c>
      <c r="C550" s="64" t="s">
        <v>222</v>
      </c>
      <c r="D550" s="64" t="s">
        <v>112</v>
      </c>
      <c r="E550" s="73" t="s">
        <v>445</v>
      </c>
      <c r="F550" s="74">
        <v>23.724117129645599</v>
      </c>
      <c r="G550" s="73" t="s">
        <v>446</v>
      </c>
      <c r="H550" s="74">
        <v>23.762029522929499</v>
      </c>
      <c r="I550" s="75">
        <v>4.45</v>
      </c>
      <c r="J550" s="93" t="s">
        <v>115</v>
      </c>
      <c r="K550" s="93" t="s">
        <v>373</v>
      </c>
      <c r="L550" s="93">
        <v>6</v>
      </c>
      <c r="M550" s="93">
        <f>48-L550</f>
        <v>42</v>
      </c>
    </row>
    <row r="551" spans="2:13" x14ac:dyDescent="0.35">
      <c r="B551" s="93"/>
      <c r="C551" s="64" t="s">
        <v>228</v>
      </c>
      <c r="D551" s="64"/>
      <c r="E551" s="75"/>
      <c r="F551" s="74">
        <v>89.764242979825596</v>
      </c>
      <c r="G551" s="75"/>
      <c r="H551" s="74">
        <v>89.780407870512306</v>
      </c>
      <c r="I551" s="75"/>
      <c r="J551" s="93"/>
      <c r="K551" s="93"/>
      <c r="L551" s="93"/>
      <c r="M551" s="93"/>
    </row>
    <row r="552" spans="2:13" x14ac:dyDescent="0.35">
      <c r="B552" s="93"/>
      <c r="C552" s="64" t="s">
        <v>229</v>
      </c>
      <c r="D552" s="64"/>
      <c r="E552" s="75"/>
      <c r="F552" s="75"/>
      <c r="G552" s="75"/>
      <c r="H552" s="77"/>
      <c r="I552" s="75"/>
      <c r="J552" s="93"/>
      <c r="K552" s="93"/>
      <c r="L552" s="93"/>
      <c r="M552" s="93"/>
    </row>
    <row r="553" spans="2:13" x14ac:dyDescent="0.35">
      <c r="B553" s="93">
        <v>77</v>
      </c>
      <c r="C553" s="64" t="s">
        <v>222</v>
      </c>
      <c r="D553" s="64" t="s">
        <v>112</v>
      </c>
      <c r="E553" s="73" t="s">
        <v>444</v>
      </c>
      <c r="F553" s="74">
        <v>23.7473780200839</v>
      </c>
      <c r="G553" s="73" t="s">
        <v>447</v>
      </c>
      <c r="H553" s="74">
        <v>23.701191000000001</v>
      </c>
      <c r="I553" s="75">
        <v>5.7</v>
      </c>
      <c r="J553" s="93" t="s">
        <v>115</v>
      </c>
      <c r="K553" s="93" t="s">
        <v>373</v>
      </c>
      <c r="L553" s="93">
        <v>10</v>
      </c>
      <c r="M553" s="93">
        <f>48-L553</f>
        <v>38</v>
      </c>
    </row>
    <row r="554" spans="2:13" x14ac:dyDescent="0.35">
      <c r="B554" s="93"/>
      <c r="C554" s="64" t="s">
        <v>228</v>
      </c>
      <c r="D554" s="64"/>
      <c r="E554" s="75"/>
      <c r="F554" s="74">
        <v>89.712185969108901</v>
      </c>
      <c r="G554" s="75"/>
      <c r="H554" s="74">
        <v>89.713414999999998</v>
      </c>
      <c r="I554" s="75"/>
      <c r="J554" s="93"/>
      <c r="K554" s="93"/>
      <c r="L554" s="93"/>
      <c r="M554" s="93"/>
    </row>
    <row r="555" spans="2:13" x14ac:dyDescent="0.35">
      <c r="B555" s="93"/>
      <c r="C555" s="64" t="s">
        <v>229</v>
      </c>
      <c r="D555" s="64"/>
      <c r="E555" s="75"/>
      <c r="F555" s="75"/>
      <c r="G555" s="75"/>
      <c r="H555" s="75"/>
      <c r="I555" s="75"/>
      <c r="J555" s="93"/>
      <c r="K555" s="93"/>
      <c r="L555" s="93"/>
      <c r="M555" s="93"/>
    </row>
    <row r="556" spans="2:13" x14ac:dyDescent="0.35">
      <c r="B556" s="93">
        <v>78</v>
      </c>
      <c r="C556" s="64" t="s">
        <v>222</v>
      </c>
      <c r="D556" s="64" t="s">
        <v>112</v>
      </c>
      <c r="E556" s="73" t="s">
        <v>447</v>
      </c>
      <c r="F556" s="74">
        <v>23.701191000000001</v>
      </c>
      <c r="G556" s="73" t="s">
        <v>448</v>
      </c>
      <c r="H556" s="74">
        <v>23.639689000000001</v>
      </c>
      <c r="I556" s="75">
        <v>8.26</v>
      </c>
      <c r="J556" s="93" t="s">
        <v>115</v>
      </c>
      <c r="K556" s="93" t="s">
        <v>373</v>
      </c>
      <c r="L556" s="93">
        <v>10</v>
      </c>
      <c r="M556" s="93">
        <f>48-L556</f>
        <v>38</v>
      </c>
    </row>
    <row r="557" spans="2:13" x14ac:dyDescent="0.35">
      <c r="B557" s="93"/>
      <c r="C557" s="64" t="s">
        <v>228</v>
      </c>
      <c r="D557" s="64"/>
      <c r="E557" s="75"/>
      <c r="F557" s="74">
        <v>89.713414999999998</v>
      </c>
      <c r="G557" s="75"/>
      <c r="H557" s="74">
        <v>89.744253999999998</v>
      </c>
      <c r="I557" s="75"/>
      <c r="J557" s="93"/>
      <c r="K557" s="93"/>
      <c r="L557" s="93"/>
      <c r="M557" s="93"/>
    </row>
    <row r="558" spans="2:13" x14ac:dyDescent="0.35">
      <c r="B558" s="93"/>
      <c r="C558" s="64" t="s">
        <v>229</v>
      </c>
      <c r="D558" s="64"/>
      <c r="E558" s="75"/>
      <c r="F558" s="75"/>
      <c r="G558" s="75"/>
      <c r="H558" s="75"/>
      <c r="I558" s="75"/>
      <c r="J558" s="93"/>
      <c r="K558" s="93"/>
      <c r="L558" s="93"/>
      <c r="M558" s="93"/>
    </row>
    <row r="559" spans="2:13" x14ac:dyDescent="0.35">
      <c r="B559" s="93">
        <v>79</v>
      </c>
      <c r="C559" s="64" t="s">
        <v>222</v>
      </c>
      <c r="D559" s="64" t="s">
        <v>112</v>
      </c>
      <c r="E559" s="73" t="s">
        <v>448</v>
      </c>
      <c r="F559" s="74">
        <v>23.639689000000001</v>
      </c>
      <c r="G559" s="73" t="s">
        <v>449</v>
      </c>
      <c r="H559" s="74">
        <v>23.6109925384993</v>
      </c>
      <c r="I559" s="75">
        <v>11.21</v>
      </c>
      <c r="J559" s="93" t="s">
        <v>115</v>
      </c>
      <c r="K559" s="93" t="s">
        <v>373</v>
      </c>
      <c r="L559" s="93">
        <v>10</v>
      </c>
      <c r="M559" s="93">
        <f>48-L559</f>
        <v>38</v>
      </c>
    </row>
    <row r="560" spans="2:13" x14ac:dyDescent="0.35">
      <c r="B560" s="93"/>
      <c r="C560" s="64" t="s">
        <v>228</v>
      </c>
      <c r="D560" s="64"/>
      <c r="E560" s="75"/>
      <c r="F560" s="74">
        <v>89.744253999999998</v>
      </c>
      <c r="G560" s="75"/>
      <c r="H560" s="74">
        <v>89.842677926824194</v>
      </c>
      <c r="I560" s="75"/>
      <c r="J560" s="93"/>
      <c r="K560" s="93"/>
      <c r="L560" s="93"/>
      <c r="M560" s="93"/>
    </row>
    <row r="561" spans="2:13" x14ac:dyDescent="0.35">
      <c r="B561" s="93"/>
      <c r="C561" s="64" t="s">
        <v>229</v>
      </c>
      <c r="D561" s="64"/>
      <c r="E561" s="75"/>
      <c r="F561" s="75"/>
      <c r="G561" s="75"/>
      <c r="H561" s="75"/>
      <c r="I561" s="75"/>
      <c r="J561" s="93"/>
      <c r="K561" s="93"/>
      <c r="L561" s="93"/>
      <c r="M561" s="93"/>
    </row>
    <row r="562" spans="2:13" x14ac:dyDescent="0.35">
      <c r="B562" s="93">
        <v>80</v>
      </c>
      <c r="C562" s="64" t="s">
        <v>222</v>
      </c>
      <c r="D562" s="64" t="s">
        <v>112</v>
      </c>
      <c r="E562" s="73" t="s">
        <v>449</v>
      </c>
      <c r="F562" s="74">
        <v>23.6109925384993</v>
      </c>
      <c r="G562" s="73" t="s">
        <v>450</v>
      </c>
      <c r="H562" s="74">
        <v>23.490207999999999</v>
      </c>
      <c r="I562" s="75">
        <v>15.58</v>
      </c>
      <c r="J562" s="93" t="s">
        <v>115</v>
      </c>
      <c r="K562" s="93" t="s">
        <v>373</v>
      </c>
      <c r="L562" s="93">
        <v>6</v>
      </c>
      <c r="M562" s="93">
        <f>48-L562</f>
        <v>42</v>
      </c>
    </row>
    <row r="563" spans="2:13" x14ac:dyDescent="0.35">
      <c r="B563" s="93"/>
      <c r="C563" s="64" t="s">
        <v>228</v>
      </c>
      <c r="D563" s="64"/>
      <c r="E563" s="75"/>
      <c r="F563" s="74">
        <v>89.842677926824194</v>
      </c>
      <c r="G563" s="75"/>
      <c r="H563" s="74">
        <v>89.876557000000005</v>
      </c>
      <c r="I563" s="75"/>
      <c r="J563" s="93"/>
      <c r="K563" s="93"/>
      <c r="L563" s="93"/>
      <c r="M563" s="93"/>
    </row>
    <row r="564" spans="2:13" x14ac:dyDescent="0.35">
      <c r="B564" s="93"/>
      <c r="C564" s="64" t="s">
        <v>229</v>
      </c>
      <c r="D564" s="64"/>
      <c r="E564" s="75"/>
      <c r="F564" s="75"/>
      <c r="G564" s="75"/>
      <c r="H564" s="75"/>
      <c r="I564" s="75"/>
      <c r="J564" s="93"/>
      <c r="K564" s="93"/>
      <c r="L564" s="93"/>
      <c r="M564" s="93"/>
    </row>
    <row r="565" spans="2:13" x14ac:dyDescent="0.35">
      <c r="B565" s="93">
        <v>81</v>
      </c>
      <c r="C565" s="64" t="s">
        <v>222</v>
      </c>
      <c r="D565" s="64" t="s">
        <v>112</v>
      </c>
      <c r="E565" s="73" t="s">
        <v>450</v>
      </c>
      <c r="F565" s="74">
        <v>23.490207999999999</v>
      </c>
      <c r="G565" s="73" t="s">
        <v>451</v>
      </c>
      <c r="H565" s="74">
        <v>23.442523000000001</v>
      </c>
      <c r="I565" s="75">
        <v>9.98</v>
      </c>
      <c r="J565" s="93" t="s">
        <v>115</v>
      </c>
      <c r="K565" s="93" t="s">
        <v>373</v>
      </c>
      <c r="L565" s="93">
        <v>6</v>
      </c>
      <c r="M565" s="93">
        <f>48-L565</f>
        <v>42</v>
      </c>
    </row>
    <row r="566" spans="2:13" x14ac:dyDescent="0.35">
      <c r="B566" s="93"/>
      <c r="C566" s="64" t="s">
        <v>228</v>
      </c>
      <c r="D566" s="64"/>
      <c r="E566" s="75"/>
      <c r="F566" s="74">
        <v>89.876557000000005</v>
      </c>
      <c r="G566" s="75"/>
      <c r="H566" s="74">
        <v>89.957310000000007</v>
      </c>
      <c r="I566" s="75"/>
      <c r="J566" s="93"/>
      <c r="K566" s="93"/>
      <c r="L566" s="93"/>
      <c r="M566" s="93"/>
    </row>
    <row r="567" spans="2:13" x14ac:dyDescent="0.35">
      <c r="B567" s="93"/>
      <c r="C567" s="64" t="s">
        <v>229</v>
      </c>
      <c r="D567" s="64"/>
      <c r="E567" s="75"/>
      <c r="F567" s="75"/>
      <c r="G567" s="75"/>
      <c r="H567" s="75"/>
      <c r="I567" s="75"/>
      <c r="J567" s="93"/>
      <c r="K567" s="93"/>
      <c r="L567" s="93"/>
      <c r="M567" s="93"/>
    </row>
    <row r="568" spans="2:13" x14ac:dyDescent="0.35">
      <c r="B568" s="93">
        <v>82</v>
      </c>
      <c r="C568" s="64" t="s">
        <v>222</v>
      </c>
      <c r="D568" s="64" t="s">
        <v>112</v>
      </c>
      <c r="E568" s="73" t="s">
        <v>451</v>
      </c>
      <c r="F568" s="74">
        <v>23.442523000000001</v>
      </c>
      <c r="G568" s="73" t="s">
        <v>452</v>
      </c>
      <c r="H568" s="74">
        <v>23.3971949913239</v>
      </c>
      <c r="I568" s="75">
        <v>5.96</v>
      </c>
      <c r="J568" s="93" t="s">
        <v>115</v>
      </c>
      <c r="K568" s="93" t="s">
        <v>373</v>
      </c>
      <c r="L568" s="93">
        <v>6</v>
      </c>
      <c r="M568" s="93">
        <f>48-L568</f>
        <v>42</v>
      </c>
    </row>
    <row r="569" spans="2:13" x14ac:dyDescent="0.35">
      <c r="B569" s="93"/>
      <c r="C569" s="64" t="s">
        <v>228</v>
      </c>
      <c r="D569" s="64"/>
      <c r="E569" s="75"/>
      <c r="F569" s="74">
        <v>89.957310000000007</v>
      </c>
      <c r="G569" s="75"/>
      <c r="H569" s="74">
        <v>89.986674934877101</v>
      </c>
      <c r="I569" s="75"/>
      <c r="J569" s="93"/>
      <c r="K569" s="93"/>
      <c r="L569" s="93"/>
      <c r="M569" s="93"/>
    </row>
    <row r="570" spans="2:13" x14ac:dyDescent="0.35">
      <c r="B570" s="93"/>
      <c r="C570" s="64" t="s">
        <v>229</v>
      </c>
      <c r="D570" s="64"/>
      <c r="E570" s="75"/>
      <c r="F570" s="75"/>
      <c r="G570" s="75"/>
      <c r="H570" s="77"/>
      <c r="I570" s="75"/>
      <c r="J570" s="93"/>
      <c r="K570" s="93"/>
      <c r="L570" s="93"/>
      <c r="M570" s="93"/>
    </row>
    <row r="571" spans="2:13" x14ac:dyDescent="0.35">
      <c r="B571" s="93">
        <v>83</v>
      </c>
      <c r="C571" s="64" t="s">
        <v>222</v>
      </c>
      <c r="D571" s="64" t="s">
        <v>112</v>
      </c>
      <c r="E571" s="73" t="s">
        <v>452</v>
      </c>
      <c r="F571" s="74">
        <v>23.3971949913239</v>
      </c>
      <c r="G571" s="73" t="s">
        <v>395</v>
      </c>
      <c r="H571" s="74">
        <v>23.374539008876301</v>
      </c>
      <c r="I571" s="75">
        <v>5</v>
      </c>
      <c r="J571" s="93" t="s">
        <v>115</v>
      </c>
      <c r="K571" s="93" t="s">
        <v>275</v>
      </c>
      <c r="L571" s="93">
        <v>56</v>
      </c>
      <c r="M571" s="93">
        <f>96-L571</f>
        <v>40</v>
      </c>
    </row>
    <row r="572" spans="2:13" x14ac:dyDescent="0.35">
      <c r="B572" s="93"/>
      <c r="C572" s="64" t="s">
        <v>228</v>
      </c>
      <c r="D572" s="64"/>
      <c r="E572" s="75"/>
      <c r="F572" s="74">
        <v>89.986674934877101</v>
      </c>
      <c r="G572" s="75"/>
      <c r="H572" s="74">
        <v>90.022348951546405</v>
      </c>
      <c r="I572" s="75"/>
      <c r="J572" s="93"/>
      <c r="K572" s="93"/>
      <c r="L572" s="93"/>
      <c r="M572" s="93"/>
    </row>
    <row r="573" spans="2:13" x14ac:dyDescent="0.35">
      <c r="B573" s="93"/>
      <c r="C573" s="64" t="s">
        <v>229</v>
      </c>
      <c r="D573" s="64"/>
      <c r="E573" s="75"/>
      <c r="F573" s="75"/>
      <c r="G573" s="75"/>
      <c r="H573" s="77"/>
      <c r="I573" s="75"/>
      <c r="J573" s="93"/>
      <c r="K573" s="93"/>
      <c r="L573" s="93"/>
      <c r="M573" s="93"/>
    </row>
    <row r="574" spans="2:13" x14ac:dyDescent="0.35">
      <c r="B574" s="93">
        <v>84</v>
      </c>
      <c r="C574" s="64" t="s">
        <v>222</v>
      </c>
      <c r="D574" s="64" t="s">
        <v>112</v>
      </c>
      <c r="E574" s="73" t="s">
        <v>453</v>
      </c>
      <c r="F574" s="74">
        <v>23.864725</v>
      </c>
      <c r="G574" s="73" t="s">
        <v>454</v>
      </c>
      <c r="H574" s="74">
        <v>23.941585</v>
      </c>
      <c r="I574" s="75">
        <v>9.51</v>
      </c>
      <c r="J574" s="93" t="s">
        <v>115</v>
      </c>
      <c r="K574" s="93" t="s">
        <v>373</v>
      </c>
      <c r="L574" s="93">
        <v>46</v>
      </c>
      <c r="M574" s="93">
        <f>96-L574</f>
        <v>50</v>
      </c>
    </row>
    <row r="575" spans="2:13" x14ac:dyDescent="0.35">
      <c r="B575" s="93"/>
      <c r="C575" s="64" t="s">
        <v>228</v>
      </c>
      <c r="D575" s="64"/>
      <c r="E575" s="75"/>
      <c r="F575" s="74">
        <v>89.032709999999994</v>
      </c>
      <c r="G575" s="75"/>
      <c r="H575" s="74">
        <v>88.997073</v>
      </c>
      <c r="I575" s="75"/>
      <c r="J575" s="93"/>
      <c r="K575" s="93"/>
      <c r="L575" s="93"/>
      <c r="M575" s="93"/>
    </row>
    <row r="576" spans="2:13" x14ac:dyDescent="0.35">
      <c r="B576" s="93"/>
      <c r="C576" s="64" t="s">
        <v>229</v>
      </c>
      <c r="D576" s="64"/>
      <c r="E576" s="75"/>
      <c r="F576" s="75"/>
      <c r="G576" s="75"/>
      <c r="H576" s="75"/>
      <c r="I576" s="75"/>
      <c r="J576" s="93"/>
      <c r="K576" s="93"/>
      <c r="L576" s="93"/>
      <c r="M576" s="93"/>
    </row>
    <row r="577" spans="2:13" x14ac:dyDescent="0.35">
      <c r="B577" s="93">
        <v>85</v>
      </c>
      <c r="C577" s="64" t="s">
        <v>222</v>
      </c>
      <c r="D577" s="64" t="s">
        <v>112</v>
      </c>
      <c r="E577" s="73" t="s">
        <v>454</v>
      </c>
      <c r="F577" s="74">
        <v>23.941585</v>
      </c>
      <c r="G577" s="73" t="s">
        <v>455</v>
      </c>
      <c r="H577" s="74">
        <v>24.023123999999999</v>
      </c>
      <c r="I577" s="75">
        <v>9.1199999999999992</v>
      </c>
      <c r="J577" s="93" t="s">
        <v>115</v>
      </c>
      <c r="K577" s="93" t="s">
        <v>373</v>
      </c>
      <c r="L577" s="93">
        <v>46</v>
      </c>
      <c r="M577" s="93">
        <f>48-L577</f>
        <v>2</v>
      </c>
    </row>
    <row r="578" spans="2:13" x14ac:dyDescent="0.35">
      <c r="B578" s="93"/>
      <c r="C578" s="64" t="s">
        <v>228</v>
      </c>
      <c r="D578" s="64"/>
      <c r="E578" s="75"/>
      <c r="F578" s="74">
        <v>88.997073</v>
      </c>
      <c r="G578" s="75"/>
      <c r="H578" s="74">
        <v>88.991921000000005</v>
      </c>
      <c r="I578" s="75"/>
      <c r="J578" s="93"/>
      <c r="K578" s="93"/>
      <c r="L578" s="93"/>
      <c r="M578" s="93"/>
    </row>
    <row r="579" spans="2:13" x14ac:dyDescent="0.35">
      <c r="B579" s="93"/>
      <c r="C579" s="64" t="s">
        <v>229</v>
      </c>
      <c r="D579" s="64"/>
      <c r="E579" s="75"/>
      <c r="F579" s="75"/>
      <c r="G579" s="75"/>
      <c r="H579" s="75"/>
      <c r="I579" s="75"/>
      <c r="J579" s="93"/>
      <c r="K579" s="93"/>
      <c r="L579" s="93"/>
      <c r="M579" s="93"/>
    </row>
    <row r="580" spans="2:13" x14ac:dyDescent="0.35">
      <c r="B580" s="93">
        <v>86</v>
      </c>
      <c r="C580" s="64" t="s">
        <v>222</v>
      </c>
      <c r="D580" s="64" t="s">
        <v>112</v>
      </c>
      <c r="E580" s="73" t="s">
        <v>455</v>
      </c>
      <c r="F580" s="74">
        <v>24.023123999999999</v>
      </c>
      <c r="G580" s="73" t="s">
        <v>456</v>
      </c>
      <c r="H580" s="74">
        <v>24.130300999999999</v>
      </c>
      <c r="I580" s="75">
        <v>8.5299999999999994</v>
      </c>
      <c r="J580" s="93" t="s">
        <v>115</v>
      </c>
      <c r="K580" s="93" t="s">
        <v>373</v>
      </c>
      <c r="L580" s="93">
        <v>46</v>
      </c>
      <c r="M580" s="93">
        <f>48-L580</f>
        <v>2</v>
      </c>
    </row>
    <row r="581" spans="2:13" x14ac:dyDescent="0.35">
      <c r="B581" s="93"/>
      <c r="C581" s="64" t="s">
        <v>228</v>
      </c>
      <c r="D581" s="64"/>
      <c r="E581" s="75"/>
      <c r="F581" s="74">
        <v>88.991921000000005</v>
      </c>
      <c r="G581" s="75"/>
      <c r="H581" s="74">
        <v>89.063017000000002</v>
      </c>
      <c r="I581" s="75"/>
      <c r="J581" s="93"/>
      <c r="K581" s="93"/>
      <c r="L581" s="93"/>
      <c r="M581" s="93"/>
    </row>
    <row r="582" spans="2:13" x14ac:dyDescent="0.35">
      <c r="B582" s="93"/>
      <c r="C582" s="64" t="s">
        <v>229</v>
      </c>
      <c r="D582" s="64"/>
      <c r="E582" s="75"/>
      <c r="F582" s="75"/>
      <c r="G582" s="75"/>
      <c r="H582" s="75"/>
      <c r="I582" s="75"/>
      <c r="J582" s="93"/>
      <c r="K582" s="93"/>
      <c r="L582" s="93"/>
      <c r="M582" s="93"/>
    </row>
    <row r="583" spans="2:13" x14ac:dyDescent="0.35">
      <c r="B583" s="93">
        <v>87</v>
      </c>
      <c r="C583" s="64" t="s">
        <v>222</v>
      </c>
      <c r="D583" s="64" t="s">
        <v>112</v>
      </c>
      <c r="E583" s="73" t="s">
        <v>456</v>
      </c>
      <c r="F583" s="74">
        <v>24.130300999999999</v>
      </c>
      <c r="G583" s="73" t="s">
        <v>457</v>
      </c>
      <c r="H583" s="74">
        <v>24.130300999999999</v>
      </c>
      <c r="I583" s="75">
        <v>7.74</v>
      </c>
      <c r="J583" s="93" t="s">
        <v>115</v>
      </c>
      <c r="K583" s="93" t="s">
        <v>373</v>
      </c>
      <c r="L583" s="93">
        <v>46</v>
      </c>
      <c r="M583" s="93">
        <f>48-L583</f>
        <v>2</v>
      </c>
    </row>
    <row r="584" spans="2:13" x14ac:dyDescent="0.35">
      <c r="B584" s="93"/>
      <c r="C584" s="64" t="s">
        <v>228</v>
      </c>
      <c r="D584" s="64"/>
      <c r="E584" s="75"/>
      <c r="F584" s="74">
        <v>89.063017000000002</v>
      </c>
      <c r="G584" s="75"/>
      <c r="H584" s="74">
        <v>89.063017000000002</v>
      </c>
      <c r="I584" s="75"/>
      <c r="J584" s="93"/>
      <c r="K584" s="93"/>
      <c r="L584" s="93"/>
      <c r="M584" s="93"/>
    </row>
    <row r="585" spans="2:13" x14ac:dyDescent="0.35">
      <c r="B585" s="93"/>
      <c r="C585" s="64" t="s">
        <v>229</v>
      </c>
      <c r="D585" s="64"/>
      <c r="E585" s="75"/>
      <c r="F585" s="75"/>
      <c r="G585" s="75"/>
      <c r="H585" s="75"/>
      <c r="I585" s="75"/>
      <c r="J585" s="93"/>
      <c r="K585" s="93"/>
      <c r="L585" s="93"/>
      <c r="M585" s="93"/>
    </row>
    <row r="586" spans="2:13" x14ac:dyDescent="0.35">
      <c r="B586" s="93">
        <v>88</v>
      </c>
      <c r="C586" s="64" t="s">
        <v>222</v>
      </c>
      <c r="D586" s="64" t="s">
        <v>112</v>
      </c>
      <c r="E586" s="73" t="s">
        <v>457</v>
      </c>
      <c r="F586" s="74">
        <v>24.130300999999999</v>
      </c>
      <c r="G586" s="73" t="s">
        <v>458</v>
      </c>
      <c r="H586" s="74">
        <v>24.163214697739399</v>
      </c>
      <c r="I586" s="75">
        <v>6.2</v>
      </c>
      <c r="J586" s="93" t="s">
        <v>115</v>
      </c>
      <c r="K586" s="93" t="s">
        <v>373</v>
      </c>
      <c r="L586" s="93">
        <v>6</v>
      </c>
      <c r="M586" s="93">
        <f>48-L586</f>
        <v>42</v>
      </c>
    </row>
    <row r="587" spans="2:13" x14ac:dyDescent="0.35">
      <c r="B587" s="93"/>
      <c r="C587" s="64" t="s">
        <v>228</v>
      </c>
      <c r="D587" s="64"/>
      <c r="E587" s="75"/>
      <c r="F587" s="74">
        <v>89.063017000000002</v>
      </c>
      <c r="G587" s="75"/>
      <c r="H587" s="74">
        <v>89.092070663936497</v>
      </c>
      <c r="I587" s="75"/>
      <c r="J587" s="93"/>
      <c r="K587" s="93"/>
      <c r="L587" s="93"/>
      <c r="M587" s="93"/>
    </row>
    <row r="588" spans="2:13" x14ac:dyDescent="0.35">
      <c r="B588" s="93"/>
      <c r="C588" s="64" t="s">
        <v>229</v>
      </c>
      <c r="D588" s="64"/>
      <c r="E588" s="75"/>
      <c r="F588" s="75"/>
      <c r="G588" s="75"/>
      <c r="H588" s="75"/>
      <c r="I588" s="75"/>
      <c r="J588" s="93"/>
      <c r="K588" s="93"/>
      <c r="L588" s="93"/>
      <c r="M588" s="93"/>
    </row>
    <row r="589" spans="2:13" x14ac:dyDescent="0.35">
      <c r="B589" s="93">
        <v>89</v>
      </c>
      <c r="C589" s="64" t="s">
        <v>222</v>
      </c>
      <c r="D589" s="64" t="s">
        <v>112</v>
      </c>
      <c r="E589" s="73" t="s">
        <v>458</v>
      </c>
      <c r="F589" s="74">
        <v>24.163214697739399</v>
      </c>
      <c r="G589" s="73" t="s">
        <v>459</v>
      </c>
      <c r="H589" s="74">
        <v>24.113713615367502</v>
      </c>
      <c r="I589" s="75">
        <v>7.22</v>
      </c>
      <c r="J589" s="93" t="s">
        <v>115</v>
      </c>
      <c r="K589" s="93" t="s">
        <v>373</v>
      </c>
      <c r="L589" s="93">
        <v>6</v>
      </c>
      <c r="M589" s="93">
        <f>48-L589</f>
        <v>42</v>
      </c>
    </row>
    <row r="590" spans="2:13" x14ac:dyDescent="0.35">
      <c r="B590" s="93"/>
      <c r="C590" s="64" t="s">
        <v>228</v>
      </c>
      <c r="D590" s="64"/>
      <c r="E590" s="75"/>
      <c r="F590" s="74">
        <v>89.092070663936497</v>
      </c>
      <c r="G590" s="75"/>
      <c r="H590" s="74">
        <v>89.128518156304494</v>
      </c>
      <c r="I590" s="75"/>
      <c r="J590" s="93"/>
      <c r="K590" s="93"/>
      <c r="L590" s="93"/>
      <c r="M590" s="93"/>
    </row>
    <row r="591" spans="2:13" x14ac:dyDescent="0.35">
      <c r="B591" s="93"/>
      <c r="C591" s="64" t="s">
        <v>229</v>
      </c>
      <c r="D591" s="64"/>
      <c r="E591" s="75"/>
      <c r="F591" s="75"/>
      <c r="G591" s="75"/>
      <c r="H591" s="77"/>
      <c r="I591" s="75"/>
      <c r="J591" s="93"/>
      <c r="K591" s="93"/>
      <c r="L591" s="93"/>
      <c r="M591" s="93"/>
    </row>
    <row r="592" spans="2:13" x14ac:dyDescent="0.35">
      <c r="B592" s="93">
        <v>90</v>
      </c>
      <c r="C592" s="64" t="s">
        <v>222</v>
      </c>
      <c r="D592" s="64" t="s">
        <v>112</v>
      </c>
      <c r="E592" s="73" t="s">
        <v>459</v>
      </c>
      <c r="F592" s="74">
        <v>24.113713615367502</v>
      </c>
      <c r="G592" s="73" t="s">
        <v>460</v>
      </c>
      <c r="H592" s="74">
        <v>24.0748871450227</v>
      </c>
      <c r="I592" s="75">
        <v>8.85</v>
      </c>
      <c r="J592" s="93" t="s">
        <v>115</v>
      </c>
      <c r="K592" s="93" t="s">
        <v>373</v>
      </c>
      <c r="L592" s="93">
        <v>6</v>
      </c>
      <c r="M592" s="93">
        <f>48-L592</f>
        <v>42</v>
      </c>
    </row>
    <row r="593" spans="2:13" x14ac:dyDescent="0.35">
      <c r="B593" s="93"/>
      <c r="C593" s="64" t="s">
        <v>228</v>
      </c>
      <c r="D593" s="64"/>
      <c r="E593" s="75"/>
      <c r="F593" s="74">
        <v>89.128518156304494</v>
      </c>
      <c r="G593" s="75"/>
      <c r="H593" s="74">
        <v>89.204649840711497</v>
      </c>
      <c r="I593" s="75"/>
      <c r="J593" s="93"/>
      <c r="K593" s="93"/>
      <c r="L593" s="93"/>
      <c r="M593" s="93"/>
    </row>
    <row r="594" spans="2:13" x14ac:dyDescent="0.35">
      <c r="B594" s="93"/>
      <c r="C594" s="64" t="s">
        <v>229</v>
      </c>
      <c r="D594" s="64"/>
      <c r="E594" s="75"/>
      <c r="F594" s="75"/>
      <c r="G594" s="75"/>
      <c r="H594" s="75"/>
      <c r="I594" s="75"/>
      <c r="J594" s="93"/>
      <c r="K594" s="93"/>
      <c r="L594" s="93"/>
      <c r="M594" s="93"/>
    </row>
    <row r="595" spans="2:13" x14ac:dyDescent="0.35">
      <c r="B595" s="93">
        <v>91</v>
      </c>
      <c r="C595" s="64" t="s">
        <v>222</v>
      </c>
      <c r="D595" s="64" t="s">
        <v>112</v>
      </c>
      <c r="E595" s="73" t="s">
        <v>460</v>
      </c>
      <c r="F595" s="74">
        <v>24.0748871450227</v>
      </c>
      <c r="G595" s="73" t="s">
        <v>461</v>
      </c>
      <c r="H595" s="74">
        <v>24.016065096756002</v>
      </c>
      <c r="I595" s="75">
        <v>8.4700000000000006</v>
      </c>
      <c r="J595" s="93" t="s">
        <v>115</v>
      </c>
      <c r="K595" s="93" t="s">
        <v>373</v>
      </c>
      <c r="L595" s="93">
        <v>6</v>
      </c>
      <c r="M595" s="93">
        <f>48-L595</f>
        <v>42</v>
      </c>
    </row>
    <row r="596" spans="2:13" x14ac:dyDescent="0.35">
      <c r="B596" s="93"/>
      <c r="C596" s="64" t="s">
        <v>228</v>
      </c>
      <c r="D596" s="64"/>
      <c r="E596" s="75"/>
      <c r="F596" s="74">
        <v>89.204649840711497</v>
      </c>
      <c r="G596" s="75"/>
      <c r="H596" s="74">
        <v>89.256199235623498</v>
      </c>
      <c r="I596" s="75"/>
      <c r="J596" s="93"/>
      <c r="K596" s="93"/>
      <c r="L596" s="93"/>
      <c r="M596" s="93"/>
    </row>
    <row r="597" spans="2:13" x14ac:dyDescent="0.35">
      <c r="B597" s="93"/>
      <c r="C597" s="64" t="s">
        <v>229</v>
      </c>
      <c r="D597" s="64"/>
      <c r="E597" s="75"/>
      <c r="F597" s="75"/>
      <c r="G597" s="75"/>
      <c r="H597" s="75"/>
      <c r="I597" s="75"/>
      <c r="J597" s="93"/>
      <c r="K597" s="93"/>
      <c r="L597" s="93"/>
      <c r="M597" s="93"/>
    </row>
    <row r="598" spans="2:13" x14ac:dyDescent="0.35">
      <c r="B598" s="93">
        <v>92</v>
      </c>
      <c r="C598" s="64" t="s">
        <v>222</v>
      </c>
      <c r="D598" s="64" t="s">
        <v>112</v>
      </c>
      <c r="E598" s="73" t="s">
        <v>461</v>
      </c>
      <c r="F598" s="74">
        <v>24.016065096756002</v>
      </c>
      <c r="G598" s="73" t="s">
        <v>462</v>
      </c>
      <c r="H598" s="74">
        <v>23.977600566471601</v>
      </c>
      <c r="I598" s="75">
        <v>12.69</v>
      </c>
      <c r="J598" s="93" t="s">
        <v>115</v>
      </c>
      <c r="K598" s="93" t="s">
        <v>373</v>
      </c>
      <c r="L598" s="93">
        <v>6</v>
      </c>
      <c r="M598" s="93">
        <f>48-L598</f>
        <v>42</v>
      </c>
    </row>
    <row r="599" spans="2:13" x14ac:dyDescent="0.35">
      <c r="B599" s="93"/>
      <c r="C599" s="64" t="s">
        <v>228</v>
      </c>
      <c r="D599" s="64"/>
      <c r="E599" s="75"/>
      <c r="F599" s="74">
        <v>89.256199235623498</v>
      </c>
      <c r="G599" s="75"/>
      <c r="H599" s="74">
        <v>89.371087001390194</v>
      </c>
      <c r="I599" s="75"/>
      <c r="J599" s="93"/>
      <c r="K599" s="93"/>
      <c r="L599" s="93"/>
      <c r="M599" s="93"/>
    </row>
    <row r="600" spans="2:13" x14ac:dyDescent="0.35">
      <c r="B600" s="93"/>
      <c r="C600" s="64" t="s">
        <v>229</v>
      </c>
      <c r="D600" s="64"/>
      <c r="E600" s="75"/>
      <c r="F600" s="75"/>
      <c r="G600" s="75"/>
      <c r="H600" s="75"/>
      <c r="I600" s="75"/>
      <c r="J600" s="93"/>
      <c r="K600" s="93"/>
      <c r="L600" s="93"/>
      <c r="M600" s="93"/>
    </row>
    <row r="601" spans="2:13" x14ac:dyDescent="0.35">
      <c r="B601" s="93">
        <v>93</v>
      </c>
      <c r="C601" s="64" t="s">
        <v>222</v>
      </c>
      <c r="D601" s="64" t="s">
        <v>112</v>
      </c>
      <c r="E601" s="73" t="s">
        <v>462</v>
      </c>
      <c r="F601" s="74">
        <v>23.977600566471601</v>
      </c>
      <c r="G601" s="73" t="s">
        <v>463</v>
      </c>
      <c r="H601" s="74">
        <v>23.9744411574592</v>
      </c>
      <c r="I601" s="75">
        <v>3.84</v>
      </c>
      <c r="J601" s="93" t="s">
        <v>115</v>
      </c>
      <c r="K601" s="93" t="s">
        <v>373</v>
      </c>
      <c r="L601" s="93">
        <v>6</v>
      </c>
      <c r="M601" s="93">
        <f>48-L601</f>
        <v>42</v>
      </c>
    </row>
    <row r="602" spans="2:13" x14ac:dyDescent="0.35">
      <c r="B602" s="93"/>
      <c r="C602" s="64" t="s">
        <v>228</v>
      </c>
      <c r="D602" s="64"/>
      <c r="E602" s="75"/>
      <c r="F602" s="74">
        <v>89.371087001390194</v>
      </c>
      <c r="G602" s="75"/>
      <c r="H602" s="74">
        <v>89.408567406064293</v>
      </c>
      <c r="I602" s="75"/>
      <c r="J602" s="93"/>
      <c r="K602" s="93"/>
      <c r="L602" s="93"/>
      <c r="M602" s="93"/>
    </row>
    <row r="603" spans="2:13" x14ac:dyDescent="0.35">
      <c r="B603" s="93"/>
      <c r="C603" s="64" t="s">
        <v>229</v>
      </c>
      <c r="D603" s="64"/>
      <c r="E603" s="75"/>
      <c r="F603" s="75"/>
      <c r="G603" s="75"/>
      <c r="H603" s="75"/>
      <c r="I603" s="75"/>
      <c r="J603" s="93"/>
      <c r="K603" s="93"/>
      <c r="L603" s="93"/>
      <c r="M603" s="93"/>
    </row>
    <row r="604" spans="2:13" x14ac:dyDescent="0.35">
      <c r="B604" s="93">
        <v>94</v>
      </c>
      <c r="C604" s="64" t="s">
        <v>222</v>
      </c>
      <c r="D604" s="64" t="s">
        <v>112</v>
      </c>
      <c r="E604" s="73" t="s">
        <v>463</v>
      </c>
      <c r="F604" s="74">
        <v>23.9744411574592</v>
      </c>
      <c r="G604" s="73" t="s">
        <v>464</v>
      </c>
      <c r="H604" s="74">
        <v>23.970311969438601</v>
      </c>
      <c r="I604" s="75">
        <v>18.45</v>
      </c>
      <c r="J604" s="93" t="s">
        <v>115</v>
      </c>
      <c r="K604" s="93" t="s">
        <v>373</v>
      </c>
      <c r="L604" s="93">
        <v>6</v>
      </c>
      <c r="M604" s="93">
        <f>48-L604</f>
        <v>42</v>
      </c>
    </row>
    <row r="605" spans="2:13" x14ac:dyDescent="0.35">
      <c r="B605" s="93"/>
      <c r="C605" s="64" t="s">
        <v>228</v>
      </c>
      <c r="D605" s="64"/>
      <c r="E605" s="75"/>
      <c r="F605" s="74">
        <v>89.408567406064293</v>
      </c>
      <c r="G605" s="75"/>
      <c r="H605" s="74">
        <v>89.589810152355199</v>
      </c>
      <c r="I605" s="75"/>
      <c r="J605" s="93"/>
      <c r="K605" s="93"/>
      <c r="L605" s="93"/>
      <c r="M605" s="93"/>
    </row>
    <row r="606" spans="2:13" x14ac:dyDescent="0.35">
      <c r="B606" s="93"/>
      <c r="C606" s="64" t="s">
        <v>229</v>
      </c>
      <c r="D606" s="64"/>
      <c r="E606" s="75"/>
      <c r="F606" s="75"/>
      <c r="G606" s="75"/>
      <c r="H606" s="77"/>
      <c r="I606" s="75"/>
      <c r="J606" s="93"/>
      <c r="K606" s="93"/>
      <c r="L606" s="93"/>
      <c r="M606" s="93"/>
    </row>
    <row r="607" spans="2:13" x14ac:dyDescent="0.35">
      <c r="B607" s="93">
        <v>95</v>
      </c>
      <c r="C607" s="64" t="s">
        <v>222</v>
      </c>
      <c r="D607" s="64" t="s">
        <v>112</v>
      </c>
      <c r="E607" s="73" t="s">
        <v>464</v>
      </c>
      <c r="F607" s="74">
        <v>23.970311969438601</v>
      </c>
      <c r="G607" s="80" t="s">
        <v>465</v>
      </c>
      <c r="H607" s="81">
        <v>23.840704169598599</v>
      </c>
      <c r="I607" s="75">
        <v>18.600000000000001</v>
      </c>
      <c r="J607" s="93" t="s">
        <v>115</v>
      </c>
      <c r="K607" s="93" t="s">
        <v>373</v>
      </c>
      <c r="L607" s="93">
        <v>6</v>
      </c>
      <c r="M607" s="93">
        <f>48-L607</f>
        <v>42</v>
      </c>
    </row>
    <row r="608" spans="2:13" x14ac:dyDescent="0.35">
      <c r="B608" s="93"/>
      <c r="C608" s="64" t="s">
        <v>228</v>
      </c>
      <c r="D608" s="64"/>
      <c r="E608" s="75"/>
      <c r="F608" s="74">
        <v>89.589810152355199</v>
      </c>
      <c r="G608" s="75"/>
      <c r="H608" s="81">
        <v>89.668009344412496</v>
      </c>
      <c r="I608" s="75"/>
      <c r="J608" s="93"/>
      <c r="K608" s="93"/>
      <c r="L608" s="93"/>
      <c r="M608" s="93"/>
    </row>
    <row r="609" spans="2:13" x14ac:dyDescent="0.35">
      <c r="B609" s="93"/>
      <c r="C609" s="64" t="s">
        <v>229</v>
      </c>
      <c r="D609" s="64"/>
      <c r="E609" s="75"/>
      <c r="F609" s="75"/>
      <c r="G609" s="75"/>
      <c r="H609" s="77"/>
      <c r="I609" s="75"/>
      <c r="J609" s="93"/>
      <c r="K609" s="93"/>
      <c r="L609" s="93"/>
      <c r="M609" s="93"/>
    </row>
    <row r="610" spans="2:13" x14ac:dyDescent="0.35">
      <c r="B610" s="93">
        <v>96</v>
      </c>
      <c r="C610" s="64" t="s">
        <v>222</v>
      </c>
      <c r="D610" s="64" t="s">
        <v>112</v>
      </c>
      <c r="E610" s="73" t="s">
        <v>457</v>
      </c>
      <c r="F610" s="74">
        <v>24.130300999999999</v>
      </c>
      <c r="G610" s="73" t="s">
        <v>466</v>
      </c>
      <c r="H610" s="74">
        <v>24.205970000000001</v>
      </c>
      <c r="I610" s="75">
        <v>10.53</v>
      </c>
      <c r="J610" s="93" t="s">
        <v>115</v>
      </c>
      <c r="K610" s="93" t="s">
        <v>373</v>
      </c>
      <c r="L610" s="93">
        <v>30</v>
      </c>
      <c r="M610" s="93">
        <f>48-L610</f>
        <v>18</v>
      </c>
    </row>
    <row r="611" spans="2:13" x14ac:dyDescent="0.35">
      <c r="B611" s="93"/>
      <c r="C611" s="64" t="s">
        <v>228</v>
      </c>
      <c r="D611" s="64"/>
      <c r="E611" s="75"/>
      <c r="F611" s="74">
        <v>89.063017000000002</v>
      </c>
      <c r="G611" s="75"/>
      <c r="H611" s="74">
        <v>89.006231</v>
      </c>
      <c r="I611" s="75"/>
      <c r="J611" s="93"/>
      <c r="K611" s="93"/>
      <c r="L611" s="93"/>
      <c r="M611" s="93"/>
    </row>
    <row r="612" spans="2:13" x14ac:dyDescent="0.35">
      <c r="B612" s="93"/>
      <c r="C612" s="64" t="s">
        <v>229</v>
      </c>
      <c r="D612" s="64"/>
      <c r="E612" s="75"/>
      <c r="F612" s="75"/>
      <c r="G612" s="75"/>
      <c r="H612" s="75"/>
      <c r="I612" s="75"/>
      <c r="J612" s="93"/>
      <c r="K612" s="93"/>
      <c r="L612" s="93"/>
      <c r="M612" s="93"/>
    </row>
    <row r="613" spans="2:13" x14ac:dyDescent="0.35">
      <c r="B613" s="93">
        <v>97</v>
      </c>
      <c r="C613" s="64" t="s">
        <v>222</v>
      </c>
      <c r="D613" s="64" t="s">
        <v>112</v>
      </c>
      <c r="E613" s="73" t="s">
        <v>466</v>
      </c>
      <c r="F613" s="74">
        <v>24.205970000000001</v>
      </c>
      <c r="G613" s="73" t="s">
        <v>467</v>
      </c>
      <c r="H613" s="74">
        <v>24.259937000000001</v>
      </c>
      <c r="I613" s="75">
        <v>6.93</v>
      </c>
      <c r="J613" s="93" t="s">
        <v>115</v>
      </c>
      <c r="K613" s="93" t="s">
        <v>373</v>
      </c>
      <c r="L613" s="93">
        <v>30</v>
      </c>
      <c r="M613" s="93">
        <f>48-L613</f>
        <v>18</v>
      </c>
    </row>
    <row r="614" spans="2:13" x14ac:dyDescent="0.35">
      <c r="B614" s="93"/>
      <c r="C614" s="64" t="s">
        <v>228</v>
      </c>
      <c r="D614" s="64"/>
      <c r="E614" s="75"/>
      <c r="F614" s="74">
        <v>89.006231</v>
      </c>
      <c r="G614" s="75"/>
      <c r="H614" s="74">
        <v>88.971693000000002</v>
      </c>
      <c r="I614" s="75"/>
      <c r="J614" s="93"/>
      <c r="K614" s="93"/>
      <c r="L614" s="93"/>
      <c r="M614" s="93"/>
    </row>
    <row r="615" spans="2:13" x14ac:dyDescent="0.35">
      <c r="B615" s="93"/>
      <c r="C615" s="64" t="s">
        <v>229</v>
      </c>
      <c r="D615" s="64"/>
      <c r="E615" s="75"/>
      <c r="F615" s="75"/>
      <c r="G615" s="75"/>
      <c r="H615" s="75"/>
      <c r="I615" s="75"/>
      <c r="J615" s="93"/>
      <c r="K615" s="93"/>
      <c r="L615" s="93"/>
      <c r="M615" s="93"/>
    </row>
    <row r="616" spans="2:13" x14ac:dyDescent="0.35">
      <c r="B616" s="93">
        <v>98</v>
      </c>
      <c r="C616" s="64" t="s">
        <v>222</v>
      </c>
      <c r="D616" s="64" t="s">
        <v>112</v>
      </c>
      <c r="E616" s="73" t="s">
        <v>468</v>
      </c>
      <c r="F616" s="74">
        <v>24.259937000000001</v>
      </c>
      <c r="G616" s="73" t="s">
        <v>469</v>
      </c>
      <c r="H616" s="74">
        <v>24.305156</v>
      </c>
      <c r="I616" s="75">
        <v>4.34</v>
      </c>
      <c r="J616" s="93" t="s">
        <v>115</v>
      </c>
      <c r="K616" s="93" t="s">
        <v>373</v>
      </c>
      <c r="L616" s="93">
        <v>30</v>
      </c>
      <c r="M616" s="93">
        <f>48-L616</f>
        <v>18</v>
      </c>
    </row>
    <row r="617" spans="2:13" x14ac:dyDescent="0.35">
      <c r="B617" s="93"/>
      <c r="C617" s="64" t="s">
        <v>228</v>
      </c>
      <c r="D617" s="64"/>
      <c r="E617" s="75"/>
      <c r="F617" s="74">
        <v>88.971693000000002</v>
      </c>
      <c r="G617" s="75"/>
      <c r="H617" s="74">
        <v>88.963509000000002</v>
      </c>
      <c r="I617" s="75"/>
      <c r="J617" s="93"/>
      <c r="K617" s="93"/>
      <c r="L617" s="93"/>
      <c r="M617" s="93"/>
    </row>
    <row r="618" spans="2:13" x14ac:dyDescent="0.35">
      <c r="B618" s="93"/>
      <c r="C618" s="64" t="s">
        <v>229</v>
      </c>
      <c r="D618" s="64"/>
      <c r="E618" s="75"/>
      <c r="F618" s="75"/>
      <c r="G618" s="75"/>
      <c r="H618" s="77"/>
      <c r="I618" s="75"/>
      <c r="J618" s="93"/>
      <c r="K618" s="93"/>
      <c r="L618" s="93"/>
      <c r="M618" s="93"/>
    </row>
    <row r="619" spans="2:13" x14ac:dyDescent="0.35">
      <c r="B619" s="93">
        <v>99</v>
      </c>
      <c r="C619" s="64" t="s">
        <v>222</v>
      </c>
      <c r="D619" s="64" t="s">
        <v>112</v>
      </c>
      <c r="E619" s="73" t="s">
        <v>469</v>
      </c>
      <c r="F619" s="74">
        <v>24.305156</v>
      </c>
      <c r="G619" s="73" t="s">
        <v>470</v>
      </c>
      <c r="H619" s="74">
        <v>24.362134382049</v>
      </c>
      <c r="I619" s="75">
        <v>6.48</v>
      </c>
      <c r="J619" s="93" t="s">
        <v>115</v>
      </c>
      <c r="K619" s="93" t="s">
        <v>373</v>
      </c>
      <c r="L619" s="93">
        <v>30</v>
      </c>
      <c r="M619" s="93">
        <f>48-L619</f>
        <v>18</v>
      </c>
    </row>
    <row r="620" spans="2:13" x14ac:dyDescent="0.35">
      <c r="B620" s="93"/>
      <c r="C620" s="64" t="s">
        <v>228</v>
      </c>
      <c r="D620" s="64"/>
      <c r="E620" s="75"/>
      <c r="F620" s="74">
        <v>88.963509000000002</v>
      </c>
      <c r="G620" s="75"/>
      <c r="H620" s="74">
        <v>88.963900504825403</v>
      </c>
      <c r="I620" s="75"/>
      <c r="J620" s="93"/>
      <c r="K620" s="93"/>
      <c r="L620" s="93"/>
      <c r="M620" s="93"/>
    </row>
    <row r="621" spans="2:13" x14ac:dyDescent="0.35">
      <c r="B621" s="93"/>
      <c r="C621" s="64" t="s">
        <v>229</v>
      </c>
      <c r="D621" s="64"/>
      <c r="E621" s="75"/>
      <c r="F621" s="75"/>
      <c r="G621" s="75"/>
      <c r="H621" s="75"/>
      <c r="I621" s="75"/>
      <c r="J621" s="93"/>
      <c r="K621" s="93"/>
      <c r="L621" s="93"/>
      <c r="M621" s="93"/>
    </row>
    <row r="622" spans="2:13" x14ac:dyDescent="0.35">
      <c r="B622" s="93">
        <v>100</v>
      </c>
      <c r="C622" s="64" t="s">
        <v>222</v>
      </c>
      <c r="D622" s="64" t="s">
        <v>112</v>
      </c>
      <c r="E622" s="73" t="s">
        <v>470</v>
      </c>
      <c r="F622" s="74">
        <v>24.362134382049</v>
      </c>
      <c r="G622" s="73" t="s">
        <v>471</v>
      </c>
      <c r="H622" s="74">
        <v>24.411038000000001</v>
      </c>
      <c r="I622" s="75">
        <v>5.9</v>
      </c>
      <c r="J622" s="93" t="s">
        <v>115</v>
      </c>
      <c r="K622" s="93" t="s">
        <v>373</v>
      </c>
      <c r="L622" s="93">
        <v>30</v>
      </c>
      <c r="M622" s="93">
        <f>48-L622</f>
        <v>18</v>
      </c>
    </row>
    <row r="623" spans="2:13" x14ac:dyDescent="0.35">
      <c r="B623" s="93"/>
      <c r="C623" s="64" t="s">
        <v>228</v>
      </c>
      <c r="D623" s="64"/>
      <c r="E623" s="75"/>
      <c r="F623" s="74">
        <v>88.963900504825403</v>
      </c>
      <c r="G623" s="75"/>
      <c r="H623" s="74">
        <v>88.966369</v>
      </c>
      <c r="I623" s="75"/>
      <c r="J623" s="93"/>
      <c r="K623" s="93"/>
      <c r="L623" s="93"/>
      <c r="M623" s="93"/>
    </row>
    <row r="624" spans="2:13" x14ac:dyDescent="0.35">
      <c r="B624" s="93"/>
      <c r="C624" s="64" t="s">
        <v>229</v>
      </c>
      <c r="D624" s="64"/>
      <c r="E624" s="75"/>
      <c r="F624" s="75"/>
      <c r="G624" s="75"/>
      <c r="H624" s="75"/>
      <c r="I624" s="75"/>
      <c r="J624" s="93"/>
      <c r="K624" s="93"/>
      <c r="L624" s="93"/>
      <c r="M624" s="93"/>
    </row>
    <row r="625" spans="2:13" x14ac:dyDescent="0.35">
      <c r="B625" s="93">
        <v>101</v>
      </c>
      <c r="C625" s="64" t="s">
        <v>222</v>
      </c>
      <c r="D625" s="64" t="s">
        <v>112</v>
      </c>
      <c r="E625" s="73" t="s">
        <v>471</v>
      </c>
      <c r="F625" s="74">
        <v>24.411038000000001</v>
      </c>
      <c r="G625" s="73" t="s">
        <v>472</v>
      </c>
      <c r="H625" s="74">
        <v>24.635472</v>
      </c>
      <c r="I625" s="75">
        <v>6.54</v>
      </c>
      <c r="J625" s="93" t="s">
        <v>115</v>
      </c>
      <c r="K625" s="93" t="s">
        <v>373</v>
      </c>
      <c r="L625" s="93">
        <v>30</v>
      </c>
      <c r="M625" s="93">
        <f>48-L625</f>
        <v>18</v>
      </c>
    </row>
    <row r="626" spans="2:13" x14ac:dyDescent="0.35">
      <c r="B626" s="93"/>
      <c r="C626" s="64" t="s">
        <v>228</v>
      </c>
      <c r="D626" s="64"/>
      <c r="E626" s="75"/>
      <c r="F626" s="74">
        <v>88.966369</v>
      </c>
      <c r="G626" s="75"/>
      <c r="H626" s="74">
        <v>87.982667000000006</v>
      </c>
      <c r="I626" s="75"/>
      <c r="J626" s="93"/>
      <c r="K626" s="93"/>
      <c r="L626" s="93"/>
      <c r="M626" s="93"/>
    </row>
    <row r="627" spans="2:13" x14ac:dyDescent="0.35">
      <c r="B627" s="93"/>
      <c r="C627" s="64" t="s">
        <v>229</v>
      </c>
      <c r="D627" s="64"/>
      <c r="E627" s="75"/>
      <c r="F627" s="75"/>
      <c r="G627" s="75"/>
      <c r="H627" s="75"/>
      <c r="I627" s="75"/>
      <c r="J627" s="93"/>
      <c r="K627" s="93"/>
      <c r="L627" s="93"/>
      <c r="M627" s="93"/>
    </row>
    <row r="628" spans="2:13" x14ac:dyDescent="0.35">
      <c r="B628" s="93">
        <v>102</v>
      </c>
      <c r="C628" s="64" t="s">
        <v>222</v>
      </c>
      <c r="D628" s="64" t="s">
        <v>112</v>
      </c>
      <c r="E628" s="73" t="s">
        <v>472</v>
      </c>
      <c r="F628" s="74">
        <v>24.635472</v>
      </c>
      <c r="G628" s="73" t="s">
        <v>473</v>
      </c>
      <c r="H628" s="74">
        <v>24.535030990166799</v>
      </c>
      <c r="I628" s="75">
        <v>7.44</v>
      </c>
      <c r="J628" s="93" t="s">
        <v>115</v>
      </c>
      <c r="K628" s="93" t="s">
        <v>373</v>
      </c>
      <c r="L628" s="93">
        <v>30</v>
      </c>
      <c r="M628" s="93">
        <f>48-L628</f>
        <v>18</v>
      </c>
    </row>
    <row r="629" spans="2:13" x14ac:dyDescent="0.35">
      <c r="B629" s="93"/>
      <c r="C629" s="64" t="s">
        <v>228</v>
      </c>
      <c r="D629" s="64"/>
      <c r="E629" s="75"/>
      <c r="F629" s="74">
        <v>87.982667000000006</v>
      </c>
      <c r="G629" s="75"/>
      <c r="H629" s="74">
        <v>88.961969819578997</v>
      </c>
      <c r="I629" s="75"/>
      <c r="J629" s="93"/>
      <c r="K629" s="93"/>
      <c r="L629" s="93"/>
      <c r="M629" s="93"/>
    </row>
    <row r="630" spans="2:13" x14ac:dyDescent="0.35">
      <c r="B630" s="93"/>
      <c r="C630" s="64" t="s">
        <v>229</v>
      </c>
      <c r="D630" s="64"/>
      <c r="E630" s="75"/>
      <c r="F630" s="75"/>
      <c r="G630" s="75"/>
      <c r="H630" s="77"/>
      <c r="I630" s="75"/>
      <c r="J630" s="93"/>
      <c r="K630" s="93"/>
      <c r="L630" s="93"/>
      <c r="M630" s="93"/>
    </row>
    <row r="631" spans="2:13" x14ac:dyDescent="0.35">
      <c r="B631" s="93">
        <v>103</v>
      </c>
      <c r="C631" s="64" t="s">
        <v>222</v>
      </c>
      <c r="D631" s="64" t="s">
        <v>112</v>
      </c>
      <c r="E631" s="73" t="s">
        <v>473</v>
      </c>
      <c r="F631" s="74">
        <v>24.535030990166799</v>
      </c>
      <c r="G631" s="73" t="s">
        <v>474</v>
      </c>
      <c r="H631" s="74">
        <v>24.621176121144401</v>
      </c>
      <c r="I631" s="75">
        <v>9.1</v>
      </c>
      <c r="J631" s="93" t="s">
        <v>115</v>
      </c>
      <c r="K631" s="93" t="s">
        <v>373</v>
      </c>
      <c r="L631" s="93">
        <v>30</v>
      </c>
      <c r="M631" s="93">
        <f>48-L631</f>
        <v>18</v>
      </c>
    </row>
    <row r="632" spans="2:13" x14ac:dyDescent="0.35">
      <c r="B632" s="93"/>
      <c r="C632" s="64" t="s">
        <v>228</v>
      </c>
      <c r="D632" s="64"/>
      <c r="E632" s="75"/>
      <c r="F632" s="74">
        <v>88.961969819578997</v>
      </c>
      <c r="G632" s="75"/>
      <c r="H632" s="74">
        <v>88.976690262058597</v>
      </c>
      <c r="I632" s="75"/>
      <c r="J632" s="93"/>
      <c r="K632" s="93"/>
      <c r="L632" s="93"/>
      <c r="M632" s="93"/>
    </row>
    <row r="633" spans="2:13" x14ac:dyDescent="0.35">
      <c r="B633" s="93"/>
      <c r="C633" s="64" t="s">
        <v>229</v>
      </c>
      <c r="D633" s="64"/>
      <c r="E633" s="75"/>
      <c r="F633" s="75"/>
      <c r="G633" s="75"/>
      <c r="H633" s="75"/>
      <c r="I633" s="75"/>
      <c r="J633" s="93"/>
      <c r="K633" s="93"/>
      <c r="L633" s="93"/>
      <c r="M633" s="93"/>
    </row>
    <row r="634" spans="2:13" x14ac:dyDescent="0.35">
      <c r="B634" s="93">
        <v>104</v>
      </c>
      <c r="C634" s="64" t="s">
        <v>222</v>
      </c>
      <c r="D634" s="64" t="s">
        <v>112</v>
      </c>
      <c r="E634" s="73" t="s">
        <v>474</v>
      </c>
      <c r="F634" s="74">
        <v>24.621176121144401</v>
      </c>
      <c r="G634" s="73" t="s">
        <v>475</v>
      </c>
      <c r="H634" s="74">
        <v>24.67923</v>
      </c>
      <c r="I634" s="75">
        <v>6.1</v>
      </c>
      <c r="J634" s="93" t="s">
        <v>115</v>
      </c>
      <c r="K634" s="93" t="s">
        <v>373</v>
      </c>
      <c r="L634" s="93">
        <v>30</v>
      </c>
      <c r="M634" s="93">
        <f>48-L634</f>
        <v>18</v>
      </c>
    </row>
    <row r="635" spans="2:13" x14ac:dyDescent="0.35">
      <c r="B635" s="93"/>
      <c r="C635" s="64" t="s">
        <v>228</v>
      </c>
      <c r="D635" s="64"/>
      <c r="E635" s="75"/>
      <c r="F635" s="74">
        <v>88.976690262058597</v>
      </c>
      <c r="G635" s="75"/>
      <c r="H635" s="74">
        <v>88.975603000000007</v>
      </c>
      <c r="I635" s="75"/>
      <c r="J635" s="93"/>
      <c r="K635" s="93"/>
      <c r="L635" s="93"/>
      <c r="M635" s="93"/>
    </row>
    <row r="636" spans="2:13" x14ac:dyDescent="0.35">
      <c r="B636" s="93"/>
      <c r="C636" s="64" t="s">
        <v>229</v>
      </c>
      <c r="D636" s="64"/>
      <c r="E636" s="75"/>
      <c r="F636" s="75"/>
      <c r="G636" s="75"/>
      <c r="H636" s="75"/>
      <c r="I636" s="75"/>
      <c r="J636" s="93"/>
      <c r="K636" s="93"/>
      <c r="L636" s="93"/>
      <c r="M636" s="93"/>
    </row>
    <row r="637" spans="2:13" x14ac:dyDescent="0.35">
      <c r="B637" s="93">
        <v>105</v>
      </c>
      <c r="C637" s="64" t="s">
        <v>222</v>
      </c>
      <c r="D637" s="64" t="s">
        <v>112</v>
      </c>
      <c r="E637" s="73" t="s">
        <v>475</v>
      </c>
      <c r="F637" s="74">
        <v>24.67923</v>
      </c>
      <c r="G637" s="73" t="s">
        <v>476</v>
      </c>
      <c r="H637" s="74">
        <v>24.741475579616999</v>
      </c>
      <c r="I637" s="75">
        <v>7.43</v>
      </c>
      <c r="J637" s="93" t="s">
        <v>115</v>
      </c>
      <c r="K637" s="93" t="s">
        <v>373</v>
      </c>
      <c r="L637" s="93">
        <v>30</v>
      </c>
      <c r="M637" s="93">
        <f>48-L637</f>
        <v>18</v>
      </c>
    </row>
    <row r="638" spans="2:13" x14ac:dyDescent="0.35">
      <c r="B638" s="93"/>
      <c r="C638" s="64" t="s">
        <v>228</v>
      </c>
      <c r="D638" s="64"/>
      <c r="E638" s="75"/>
      <c r="F638" s="74">
        <v>88.975603000000007</v>
      </c>
      <c r="G638" s="75"/>
      <c r="H638" s="74">
        <v>88.969535907335199</v>
      </c>
      <c r="I638" s="75"/>
      <c r="J638" s="93"/>
      <c r="K638" s="93"/>
      <c r="L638" s="93"/>
      <c r="M638" s="93"/>
    </row>
    <row r="639" spans="2:13" x14ac:dyDescent="0.35">
      <c r="B639" s="93"/>
      <c r="C639" s="64" t="s">
        <v>229</v>
      </c>
      <c r="D639" s="64"/>
      <c r="E639" s="75"/>
      <c r="F639" s="75"/>
      <c r="G639" s="75"/>
      <c r="H639" s="77"/>
      <c r="I639" s="75"/>
      <c r="J639" s="93"/>
      <c r="K639" s="93"/>
      <c r="L639" s="93"/>
      <c r="M639" s="93"/>
    </row>
    <row r="640" spans="2:13" x14ac:dyDescent="0.35">
      <c r="B640" s="93">
        <v>106</v>
      </c>
      <c r="C640" s="64" t="s">
        <v>222</v>
      </c>
      <c r="D640" s="64" t="s">
        <v>112</v>
      </c>
      <c r="E640" s="73" t="s">
        <v>476</v>
      </c>
      <c r="F640" s="74">
        <v>24.741475579616999</v>
      </c>
      <c r="G640" s="73" t="s">
        <v>477</v>
      </c>
      <c r="H640" s="74">
        <v>24.788227184968399</v>
      </c>
      <c r="I640" s="75">
        <v>2.12</v>
      </c>
      <c r="J640" s="93" t="s">
        <v>115</v>
      </c>
      <c r="K640" s="93" t="s">
        <v>373</v>
      </c>
      <c r="L640" s="93">
        <v>30</v>
      </c>
      <c r="M640" s="93">
        <f>48-L640</f>
        <v>18</v>
      </c>
    </row>
    <row r="641" spans="2:13" x14ac:dyDescent="0.35">
      <c r="B641" s="93"/>
      <c r="C641" s="64" t="s">
        <v>228</v>
      </c>
      <c r="D641" s="64"/>
      <c r="E641" s="75"/>
      <c r="F641" s="74">
        <v>88.969535907335199</v>
      </c>
      <c r="G641" s="75"/>
      <c r="H641" s="74">
        <v>88.9833350854732</v>
      </c>
      <c r="I641" s="75"/>
      <c r="J641" s="93"/>
      <c r="K641" s="93"/>
      <c r="L641" s="93"/>
      <c r="M641" s="93"/>
    </row>
    <row r="642" spans="2:13" x14ac:dyDescent="0.35">
      <c r="B642" s="93"/>
      <c r="C642" s="64" t="s">
        <v>229</v>
      </c>
      <c r="D642" s="64"/>
      <c r="E642" s="75"/>
      <c r="F642" s="75"/>
      <c r="G642" s="75"/>
      <c r="H642" s="77"/>
      <c r="I642" s="75"/>
      <c r="J642" s="93"/>
      <c r="K642" s="93"/>
      <c r="L642" s="93"/>
      <c r="M642" s="93"/>
    </row>
    <row r="643" spans="2:13" x14ac:dyDescent="0.35">
      <c r="B643" s="93">
        <v>107</v>
      </c>
      <c r="C643" s="64" t="s">
        <v>222</v>
      </c>
      <c r="D643" s="64" t="s">
        <v>112</v>
      </c>
      <c r="E643" s="73" t="s">
        <v>477</v>
      </c>
      <c r="F643" s="74">
        <v>24.788227184968399</v>
      </c>
      <c r="G643" s="73" t="s">
        <v>478</v>
      </c>
      <c r="H643" s="74">
        <v>24.806249000000001</v>
      </c>
      <c r="I643" s="75">
        <v>2</v>
      </c>
      <c r="J643" s="93" t="s">
        <v>115</v>
      </c>
      <c r="K643" s="93" t="s">
        <v>373</v>
      </c>
      <c r="L643" s="93">
        <v>30</v>
      </c>
      <c r="M643" s="93">
        <f>48-L643</f>
        <v>18</v>
      </c>
    </row>
    <row r="644" spans="2:13" x14ac:dyDescent="0.35">
      <c r="B644" s="93"/>
      <c r="C644" s="64" t="s">
        <v>228</v>
      </c>
      <c r="D644" s="64"/>
      <c r="E644" s="75"/>
      <c r="F644" s="74">
        <v>88.9833350854732</v>
      </c>
      <c r="G644" s="75"/>
      <c r="H644" s="74">
        <v>88.985947999999993</v>
      </c>
      <c r="I644" s="75"/>
      <c r="J644" s="93"/>
      <c r="K644" s="93"/>
      <c r="L644" s="93"/>
      <c r="M644" s="93"/>
    </row>
    <row r="645" spans="2:13" x14ac:dyDescent="0.35">
      <c r="B645" s="93"/>
      <c r="C645" s="64" t="s">
        <v>229</v>
      </c>
      <c r="D645" s="64"/>
      <c r="E645" s="75"/>
      <c r="F645" s="75"/>
      <c r="G645" s="75"/>
      <c r="H645" s="75"/>
      <c r="I645" s="75"/>
      <c r="J645" s="93"/>
      <c r="K645" s="93"/>
      <c r="L645" s="93"/>
      <c r="M645" s="93"/>
    </row>
    <row r="646" spans="2:13" x14ac:dyDescent="0.35">
      <c r="B646" s="93">
        <v>108</v>
      </c>
      <c r="C646" s="64" t="s">
        <v>222</v>
      </c>
      <c r="D646" s="64" t="s">
        <v>112</v>
      </c>
      <c r="E646" s="73" t="s">
        <v>478</v>
      </c>
      <c r="F646" s="74">
        <v>24.806249000000001</v>
      </c>
      <c r="G646" s="73" t="s">
        <v>479</v>
      </c>
      <c r="H646" s="74">
        <v>24.876952624744</v>
      </c>
      <c r="I646" s="75">
        <v>8.58</v>
      </c>
      <c r="J646" s="93" t="s">
        <v>115</v>
      </c>
      <c r="K646" s="93" t="s">
        <v>373</v>
      </c>
      <c r="L646" s="93">
        <v>30</v>
      </c>
      <c r="M646" s="93">
        <f>48-L646</f>
        <v>18</v>
      </c>
    </row>
    <row r="647" spans="2:13" x14ac:dyDescent="0.35">
      <c r="B647" s="93"/>
      <c r="C647" s="64" t="s">
        <v>228</v>
      </c>
      <c r="D647" s="64"/>
      <c r="E647" s="75"/>
      <c r="F647" s="74">
        <v>88.985947999999993</v>
      </c>
      <c r="G647" s="75"/>
      <c r="H647" s="74">
        <v>89.001783058044694</v>
      </c>
      <c r="I647" s="75"/>
      <c r="J647" s="93"/>
      <c r="K647" s="93"/>
      <c r="L647" s="93"/>
      <c r="M647" s="93"/>
    </row>
    <row r="648" spans="2:13" x14ac:dyDescent="0.35">
      <c r="B648" s="93"/>
      <c r="C648" s="64" t="s">
        <v>229</v>
      </c>
      <c r="D648" s="64"/>
      <c r="E648" s="75"/>
      <c r="F648" s="75"/>
      <c r="G648" s="75"/>
      <c r="H648" s="75"/>
      <c r="I648" s="75"/>
      <c r="J648" s="93"/>
      <c r="K648" s="93"/>
      <c r="L648" s="93"/>
      <c r="M648" s="93"/>
    </row>
    <row r="649" spans="2:13" x14ac:dyDescent="0.35">
      <c r="B649" s="93">
        <v>109</v>
      </c>
      <c r="C649" s="64" t="s">
        <v>222</v>
      </c>
      <c r="D649" s="64" t="s">
        <v>112</v>
      </c>
      <c r="E649" s="73" t="s">
        <v>479</v>
      </c>
      <c r="F649" s="74">
        <v>24.876952624744</v>
      </c>
      <c r="G649" s="73" t="s">
        <v>480</v>
      </c>
      <c r="H649" s="74">
        <v>24.96407</v>
      </c>
      <c r="I649" s="75">
        <v>9.5299999999999994</v>
      </c>
      <c r="J649" s="93" t="s">
        <v>115</v>
      </c>
      <c r="K649" s="93" t="s">
        <v>373</v>
      </c>
      <c r="L649" s="93">
        <v>30</v>
      </c>
      <c r="M649" s="93">
        <f>48-L649</f>
        <v>18</v>
      </c>
    </row>
    <row r="650" spans="2:13" x14ac:dyDescent="0.35">
      <c r="B650" s="93"/>
      <c r="C650" s="64" t="s">
        <v>228</v>
      </c>
      <c r="D650" s="64"/>
      <c r="E650" s="75"/>
      <c r="F650" s="74">
        <v>89.001783058044694</v>
      </c>
      <c r="G650" s="75"/>
      <c r="H650" s="74">
        <v>89.015506000000002</v>
      </c>
      <c r="I650" s="75"/>
      <c r="J650" s="93"/>
      <c r="K650" s="93"/>
      <c r="L650" s="93"/>
      <c r="M650" s="93"/>
    </row>
    <row r="651" spans="2:13" x14ac:dyDescent="0.35">
      <c r="B651" s="93"/>
      <c r="C651" s="64" t="s">
        <v>229</v>
      </c>
      <c r="D651" s="64"/>
      <c r="E651" s="75"/>
      <c r="F651" s="75"/>
      <c r="G651" s="75"/>
      <c r="H651" s="75"/>
      <c r="I651" s="75"/>
      <c r="J651" s="93"/>
      <c r="K651" s="93"/>
      <c r="L651" s="93"/>
      <c r="M651" s="93"/>
    </row>
    <row r="652" spans="2:13" x14ac:dyDescent="0.35">
      <c r="B652" s="93">
        <v>110</v>
      </c>
      <c r="C652" s="64" t="s">
        <v>222</v>
      </c>
      <c r="D652" s="64" t="s">
        <v>112</v>
      </c>
      <c r="E652" s="73" t="s">
        <v>480</v>
      </c>
      <c r="F652" s="74">
        <v>24.96407</v>
      </c>
      <c r="G652" s="73" t="s">
        <v>481</v>
      </c>
      <c r="H652" s="74">
        <v>25.030563000000001</v>
      </c>
      <c r="I652" s="75">
        <v>7.73</v>
      </c>
      <c r="J652" s="95" t="s">
        <v>115</v>
      </c>
      <c r="K652" s="93" t="s">
        <v>373</v>
      </c>
      <c r="L652" s="93">
        <v>30</v>
      </c>
      <c r="M652" s="93">
        <f>48-L652</f>
        <v>18</v>
      </c>
    </row>
    <row r="653" spans="2:13" x14ac:dyDescent="0.35">
      <c r="B653" s="93"/>
      <c r="C653" s="64" t="s">
        <v>228</v>
      </c>
      <c r="D653" s="64"/>
      <c r="E653" s="75"/>
      <c r="F653" s="74">
        <v>89.015506000000002</v>
      </c>
      <c r="G653" s="75"/>
      <c r="H653" s="74">
        <v>89.021929</v>
      </c>
      <c r="I653" s="75"/>
      <c r="J653" s="95"/>
      <c r="K653" s="93"/>
      <c r="L653" s="93"/>
      <c r="M653" s="93"/>
    </row>
    <row r="654" spans="2:13" x14ac:dyDescent="0.35">
      <c r="B654" s="93"/>
      <c r="C654" s="64" t="s">
        <v>229</v>
      </c>
      <c r="D654" s="64"/>
      <c r="E654" s="75"/>
      <c r="F654" s="75"/>
      <c r="G654" s="75"/>
      <c r="H654" s="77"/>
      <c r="I654" s="75"/>
      <c r="J654" s="95"/>
      <c r="K654" s="93"/>
      <c r="L654" s="93"/>
      <c r="M654" s="93"/>
    </row>
    <row r="655" spans="2:13" x14ac:dyDescent="0.35">
      <c r="B655" s="93">
        <v>111</v>
      </c>
      <c r="C655" s="64" t="s">
        <v>222</v>
      </c>
      <c r="D655" s="64" t="s">
        <v>112</v>
      </c>
      <c r="E655" s="73" t="s">
        <v>481</v>
      </c>
      <c r="F655" s="74">
        <v>25.030563000000001</v>
      </c>
      <c r="G655" s="73" t="s">
        <v>482</v>
      </c>
      <c r="H655" s="74">
        <v>25.098958</v>
      </c>
      <c r="I655" s="75">
        <v>7</v>
      </c>
      <c r="J655" s="95" t="s">
        <v>115</v>
      </c>
      <c r="K655" s="93" t="s">
        <v>373</v>
      </c>
      <c r="L655" s="93">
        <v>30</v>
      </c>
      <c r="M655" s="93">
        <f>48-L655</f>
        <v>18</v>
      </c>
    </row>
    <row r="656" spans="2:13" x14ac:dyDescent="0.35">
      <c r="B656" s="93"/>
      <c r="C656" s="64" t="s">
        <v>228</v>
      </c>
      <c r="D656" s="64"/>
      <c r="E656" s="75"/>
      <c r="F656" s="74">
        <v>89.021929</v>
      </c>
      <c r="G656" s="75"/>
      <c r="H656" s="74">
        <v>89.025717</v>
      </c>
      <c r="I656" s="75"/>
      <c r="J656" s="95"/>
      <c r="K656" s="93"/>
      <c r="L656" s="93"/>
      <c r="M656" s="93"/>
    </row>
    <row r="657" spans="2:13" x14ac:dyDescent="0.35">
      <c r="B657" s="93"/>
      <c r="C657" s="64" t="s">
        <v>229</v>
      </c>
      <c r="D657" s="64"/>
      <c r="E657" s="75"/>
      <c r="F657" s="75"/>
      <c r="G657" s="75"/>
      <c r="H657" s="75"/>
      <c r="I657" s="75"/>
      <c r="J657" s="95"/>
      <c r="K657" s="93"/>
      <c r="L657" s="93"/>
      <c r="M657" s="93"/>
    </row>
    <row r="658" spans="2:13" x14ac:dyDescent="0.35">
      <c r="B658" s="93">
        <v>112</v>
      </c>
      <c r="C658" s="64" t="s">
        <v>222</v>
      </c>
      <c r="D658" s="64" t="s">
        <v>112</v>
      </c>
      <c r="E658" s="73" t="s">
        <v>482</v>
      </c>
      <c r="F658" s="74">
        <v>25.098958</v>
      </c>
      <c r="G658" s="73" t="s">
        <v>483</v>
      </c>
      <c r="H658" s="74">
        <v>25.188984000000001</v>
      </c>
      <c r="I658" s="75">
        <v>10.41</v>
      </c>
      <c r="J658" s="93" t="s">
        <v>115</v>
      </c>
      <c r="K658" s="93" t="s">
        <v>373</v>
      </c>
      <c r="L658" s="93">
        <v>30</v>
      </c>
      <c r="M658" s="93">
        <f>48-L658</f>
        <v>18</v>
      </c>
    </row>
    <row r="659" spans="2:13" x14ac:dyDescent="0.35">
      <c r="B659" s="93"/>
      <c r="C659" s="64" t="s">
        <v>228</v>
      </c>
      <c r="D659" s="64"/>
      <c r="E659" s="75"/>
      <c r="F659" s="74">
        <v>89.025717</v>
      </c>
      <c r="G659" s="75"/>
      <c r="H659" s="74">
        <v>89.021181999999996</v>
      </c>
      <c r="I659" s="75"/>
      <c r="J659" s="93"/>
      <c r="K659" s="93"/>
      <c r="L659" s="93"/>
      <c r="M659" s="93"/>
    </row>
    <row r="660" spans="2:13" x14ac:dyDescent="0.35">
      <c r="B660" s="93"/>
      <c r="C660" s="64" t="s">
        <v>229</v>
      </c>
      <c r="D660" s="64"/>
      <c r="E660" s="75"/>
      <c r="F660" s="75"/>
      <c r="G660" s="75"/>
      <c r="H660" s="77"/>
      <c r="I660" s="75"/>
      <c r="J660" s="93"/>
      <c r="K660" s="93"/>
      <c r="L660" s="93"/>
      <c r="M660" s="93"/>
    </row>
    <row r="661" spans="2:13" x14ac:dyDescent="0.35">
      <c r="B661" s="93">
        <v>113</v>
      </c>
      <c r="C661" s="64" t="s">
        <v>222</v>
      </c>
      <c r="D661" s="64" t="s">
        <v>112</v>
      </c>
      <c r="E661" s="73" t="s">
        <v>483</v>
      </c>
      <c r="F661" s="74">
        <v>25.188984000000001</v>
      </c>
      <c r="G661" s="73" t="s">
        <v>484</v>
      </c>
      <c r="H661" s="74">
        <v>25.277612999999999</v>
      </c>
      <c r="I661" s="75">
        <v>9.93</v>
      </c>
      <c r="J661" s="93" t="s">
        <v>115</v>
      </c>
      <c r="K661" s="93" t="s">
        <v>373</v>
      </c>
      <c r="L661" s="93">
        <v>30</v>
      </c>
      <c r="M661" s="93">
        <f>48-L661</f>
        <v>18</v>
      </c>
    </row>
    <row r="662" spans="2:13" x14ac:dyDescent="0.35">
      <c r="B662" s="93"/>
      <c r="C662" s="64" t="s">
        <v>228</v>
      </c>
      <c r="D662" s="64"/>
      <c r="E662" s="75"/>
      <c r="F662" s="74">
        <v>89.021181999999996</v>
      </c>
      <c r="G662" s="75"/>
      <c r="H662" s="74">
        <v>89.006766999999996</v>
      </c>
      <c r="I662" s="75"/>
      <c r="J662" s="93"/>
      <c r="K662" s="93"/>
      <c r="L662" s="93"/>
      <c r="M662" s="93"/>
    </row>
    <row r="663" spans="2:13" x14ac:dyDescent="0.35">
      <c r="B663" s="93"/>
      <c r="C663" s="64" t="s">
        <v>229</v>
      </c>
      <c r="D663" s="64"/>
      <c r="E663" s="75"/>
      <c r="F663" s="75"/>
      <c r="G663" s="75"/>
      <c r="H663" s="75"/>
      <c r="I663" s="75"/>
      <c r="J663" s="93"/>
      <c r="K663" s="93"/>
      <c r="L663" s="93"/>
      <c r="M663" s="93"/>
    </row>
    <row r="664" spans="2:13" x14ac:dyDescent="0.35">
      <c r="B664" s="93">
        <v>114</v>
      </c>
      <c r="C664" s="64" t="s">
        <v>222</v>
      </c>
      <c r="D664" s="64" t="s">
        <v>112</v>
      </c>
      <c r="E664" s="73" t="s">
        <v>484</v>
      </c>
      <c r="F664" s="74">
        <v>25.277612999999999</v>
      </c>
      <c r="G664" s="73" t="s">
        <v>485</v>
      </c>
      <c r="H664" s="74">
        <v>25.397914669077199</v>
      </c>
      <c r="I664" s="75">
        <v>13.21</v>
      </c>
      <c r="J664" s="93" t="s">
        <v>115</v>
      </c>
      <c r="K664" s="93" t="s">
        <v>373</v>
      </c>
      <c r="L664" s="93">
        <v>30</v>
      </c>
      <c r="M664" s="93">
        <f>48-L664</f>
        <v>18</v>
      </c>
    </row>
    <row r="665" spans="2:13" x14ac:dyDescent="0.35">
      <c r="B665" s="93"/>
      <c r="C665" s="64" t="s">
        <v>228</v>
      </c>
      <c r="D665" s="64"/>
      <c r="E665" s="75"/>
      <c r="F665" s="74">
        <v>89.006766999999996</v>
      </c>
      <c r="G665" s="75"/>
      <c r="H665" s="74">
        <v>88.994124374885203</v>
      </c>
      <c r="I665" s="75"/>
      <c r="J665" s="93"/>
      <c r="K665" s="93"/>
      <c r="L665" s="93"/>
      <c r="M665" s="93"/>
    </row>
    <row r="666" spans="2:13" x14ac:dyDescent="0.35">
      <c r="B666" s="93"/>
      <c r="C666" s="64" t="s">
        <v>229</v>
      </c>
      <c r="D666" s="64"/>
      <c r="E666" s="75"/>
      <c r="F666" s="75"/>
      <c r="G666" s="75"/>
      <c r="H666" s="75"/>
      <c r="I666" s="75"/>
      <c r="J666" s="93"/>
      <c r="K666" s="93"/>
      <c r="L666" s="93"/>
      <c r="M666" s="93"/>
    </row>
    <row r="667" spans="2:13" x14ac:dyDescent="0.35">
      <c r="B667" s="93">
        <v>115</v>
      </c>
      <c r="C667" s="64" t="s">
        <v>222</v>
      </c>
      <c r="D667" s="64" t="s">
        <v>112</v>
      </c>
      <c r="E667" s="73" t="s">
        <v>485</v>
      </c>
      <c r="F667" s="74">
        <v>25.397914669077199</v>
      </c>
      <c r="G667" s="73" t="s">
        <v>486</v>
      </c>
      <c r="H667" s="74">
        <v>25.495449000000001</v>
      </c>
      <c r="I667" s="75">
        <v>11.06</v>
      </c>
      <c r="J667" s="93" t="s">
        <v>115</v>
      </c>
      <c r="K667" s="93" t="s">
        <v>373</v>
      </c>
      <c r="L667" s="93">
        <v>30</v>
      </c>
      <c r="M667" s="93">
        <f>48-L667</f>
        <v>18</v>
      </c>
    </row>
    <row r="668" spans="2:13" x14ac:dyDescent="0.35">
      <c r="B668" s="93"/>
      <c r="C668" s="64" t="s">
        <v>228</v>
      </c>
      <c r="D668" s="64"/>
      <c r="E668" s="75"/>
      <c r="F668" s="74">
        <v>88.994124374885203</v>
      </c>
      <c r="G668" s="75"/>
      <c r="H668" s="74">
        <v>88.968733</v>
      </c>
      <c r="I668" s="75"/>
      <c r="J668" s="93"/>
      <c r="K668" s="93"/>
      <c r="L668" s="93"/>
      <c r="M668" s="93"/>
    </row>
    <row r="669" spans="2:13" x14ac:dyDescent="0.35">
      <c r="B669" s="93"/>
      <c r="C669" s="64" t="s">
        <v>229</v>
      </c>
      <c r="D669" s="64"/>
      <c r="E669" s="75"/>
      <c r="F669" s="75"/>
      <c r="G669" s="75"/>
      <c r="H669" s="75"/>
      <c r="I669" s="75"/>
      <c r="J669" s="93"/>
      <c r="K669" s="93"/>
      <c r="L669" s="93"/>
      <c r="M669" s="93"/>
    </row>
    <row r="670" spans="2:13" x14ac:dyDescent="0.35">
      <c r="B670" s="93">
        <v>116</v>
      </c>
      <c r="C670" s="64" t="s">
        <v>222</v>
      </c>
      <c r="D670" s="64" t="s">
        <v>112</v>
      </c>
      <c r="E670" s="73" t="s">
        <v>486</v>
      </c>
      <c r="F670" s="74">
        <v>25.495449000000001</v>
      </c>
      <c r="G670" s="73" t="s">
        <v>487</v>
      </c>
      <c r="H670" s="74">
        <v>22.567764</v>
      </c>
      <c r="I670" s="75">
        <v>9.34</v>
      </c>
      <c r="J670" s="93" t="s">
        <v>115</v>
      </c>
      <c r="K670" s="93" t="s">
        <v>373</v>
      </c>
      <c r="L670" s="93">
        <v>30</v>
      </c>
      <c r="M670" s="93">
        <f>48-L670</f>
        <v>18</v>
      </c>
    </row>
    <row r="671" spans="2:13" x14ac:dyDescent="0.35">
      <c r="B671" s="93"/>
      <c r="C671" s="64" t="s">
        <v>228</v>
      </c>
      <c r="D671" s="64"/>
      <c r="E671" s="75"/>
      <c r="F671" s="74">
        <v>88.968733</v>
      </c>
      <c r="G671" s="75"/>
      <c r="H671" s="74">
        <v>88.370946000000004</v>
      </c>
      <c r="I671" s="75"/>
      <c r="J671" s="93"/>
      <c r="K671" s="93"/>
      <c r="L671" s="93"/>
      <c r="M671" s="93"/>
    </row>
    <row r="672" spans="2:13" x14ac:dyDescent="0.35">
      <c r="B672" s="93"/>
      <c r="C672" s="64" t="s">
        <v>229</v>
      </c>
      <c r="D672" s="64"/>
      <c r="E672" s="75"/>
      <c r="F672" s="75"/>
      <c r="G672" s="75"/>
      <c r="H672" s="75"/>
      <c r="I672" s="75"/>
      <c r="J672" s="93"/>
      <c r="K672" s="93"/>
      <c r="L672" s="93"/>
      <c r="M672" s="93"/>
    </row>
    <row r="673" spans="2:13" x14ac:dyDescent="0.35">
      <c r="B673" s="93">
        <v>117</v>
      </c>
      <c r="C673" s="64" t="s">
        <v>222</v>
      </c>
      <c r="D673" s="64" t="s">
        <v>112</v>
      </c>
      <c r="E673" s="73" t="s">
        <v>487</v>
      </c>
      <c r="F673" s="74">
        <v>22.567764</v>
      </c>
      <c r="G673" s="73" t="s">
        <v>488</v>
      </c>
      <c r="H673" s="74">
        <v>25.653606</v>
      </c>
      <c r="I673" s="75">
        <v>8.8000000000000007</v>
      </c>
      <c r="J673" s="93" t="s">
        <v>115</v>
      </c>
      <c r="K673" s="93" t="s">
        <v>373</v>
      </c>
      <c r="L673" s="93">
        <v>30</v>
      </c>
      <c r="M673" s="93">
        <f>48-L673</f>
        <v>18</v>
      </c>
    </row>
    <row r="674" spans="2:13" x14ac:dyDescent="0.35">
      <c r="B674" s="93"/>
      <c r="C674" s="64" t="s">
        <v>228</v>
      </c>
      <c r="D674" s="64"/>
      <c r="E674" s="75"/>
      <c r="F674" s="74">
        <v>88.370946000000004</v>
      </c>
      <c r="G674" s="75"/>
      <c r="H674" s="74">
        <v>88.915453999999997</v>
      </c>
      <c r="I674" s="75"/>
      <c r="J674" s="93"/>
      <c r="K674" s="93"/>
      <c r="L674" s="93"/>
      <c r="M674" s="93"/>
    </row>
    <row r="675" spans="2:13" x14ac:dyDescent="0.35">
      <c r="B675" s="93"/>
      <c r="C675" s="64" t="s">
        <v>229</v>
      </c>
      <c r="D675" s="64"/>
      <c r="E675" s="75"/>
      <c r="F675" s="75"/>
      <c r="G675" s="75"/>
      <c r="H675" s="75"/>
      <c r="I675" s="75"/>
      <c r="J675" s="93"/>
      <c r="K675" s="93"/>
      <c r="L675" s="93"/>
      <c r="M675" s="93"/>
    </row>
    <row r="676" spans="2:13" x14ac:dyDescent="0.35">
      <c r="B676" s="93">
        <v>118</v>
      </c>
      <c r="C676" s="64" t="s">
        <v>222</v>
      </c>
      <c r="D676" s="64" t="s">
        <v>112</v>
      </c>
      <c r="E676" s="73" t="s">
        <v>488</v>
      </c>
      <c r="F676" s="74">
        <v>25.653606</v>
      </c>
      <c r="G676" s="73" t="s">
        <v>489</v>
      </c>
      <c r="H676" s="74">
        <v>25.788271000000002</v>
      </c>
      <c r="I676" s="75">
        <v>15.1</v>
      </c>
      <c r="J676" s="93" t="s">
        <v>115</v>
      </c>
      <c r="K676" s="93" t="s">
        <v>373</v>
      </c>
      <c r="L676" s="93">
        <v>30</v>
      </c>
      <c r="M676" s="93">
        <f>48-L676</f>
        <v>18</v>
      </c>
    </row>
    <row r="677" spans="2:13" x14ac:dyDescent="0.35">
      <c r="B677" s="93"/>
      <c r="C677" s="64" t="s">
        <v>228</v>
      </c>
      <c r="D677" s="64"/>
      <c r="E677" s="75"/>
      <c r="F677" s="74">
        <v>88.915453999999997</v>
      </c>
      <c r="G677" s="75"/>
      <c r="H677" s="74">
        <v>88.892424000000005</v>
      </c>
      <c r="I677" s="75"/>
      <c r="J677" s="93"/>
      <c r="K677" s="93"/>
      <c r="L677" s="93"/>
      <c r="M677" s="93"/>
    </row>
    <row r="678" spans="2:13" x14ac:dyDescent="0.35">
      <c r="B678" s="93"/>
      <c r="C678" s="64" t="s">
        <v>229</v>
      </c>
      <c r="D678" s="64"/>
      <c r="E678" s="75"/>
      <c r="F678" s="75"/>
      <c r="G678" s="75"/>
      <c r="H678" s="75"/>
      <c r="I678" s="75"/>
      <c r="J678" s="93"/>
      <c r="K678" s="93"/>
      <c r="L678" s="93"/>
      <c r="M678" s="93"/>
    </row>
    <row r="679" spans="2:13" x14ac:dyDescent="0.35">
      <c r="B679" s="93">
        <v>119</v>
      </c>
      <c r="C679" s="64" t="s">
        <v>222</v>
      </c>
      <c r="D679" s="64" t="s">
        <v>112</v>
      </c>
      <c r="E679" s="73" t="s">
        <v>489</v>
      </c>
      <c r="F679" s="74">
        <v>25.788271000000002</v>
      </c>
      <c r="G679" s="73" t="s">
        <v>490</v>
      </c>
      <c r="H679" s="74">
        <v>25.8832505817001</v>
      </c>
      <c r="I679" s="75">
        <v>12.13</v>
      </c>
      <c r="J679" s="93" t="s">
        <v>115</v>
      </c>
      <c r="K679" s="93" t="s">
        <v>373</v>
      </c>
      <c r="L679" s="93">
        <v>6</v>
      </c>
      <c r="M679" s="93">
        <f>48-L679</f>
        <v>42</v>
      </c>
    </row>
    <row r="680" spans="2:13" x14ac:dyDescent="0.35">
      <c r="B680" s="93"/>
      <c r="C680" s="64" t="s">
        <v>228</v>
      </c>
      <c r="D680" s="64"/>
      <c r="E680" s="75"/>
      <c r="F680" s="74">
        <v>88.892424000000005</v>
      </c>
      <c r="G680" s="75"/>
      <c r="H680" s="74">
        <v>88.840385234108098</v>
      </c>
      <c r="I680" s="75"/>
      <c r="J680" s="93"/>
      <c r="K680" s="93"/>
      <c r="L680" s="93"/>
      <c r="M680" s="93"/>
    </row>
    <row r="681" spans="2:13" x14ac:dyDescent="0.35">
      <c r="B681" s="93"/>
      <c r="C681" s="64" t="s">
        <v>229</v>
      </c>
      <c r="D681" s="64"/>
      <c r="E681" s="75"/>
      <c r="F681" s="75"/>
      <c r="G681" s="75"/>
      <c r="H681" s="75"/>
      <c r="I681" s="75"/>
      <c r="J681" s="93"/>
      <c r="K681" s="93"/>
      <c r="L681" s="93"/>
      <c r="M681" s="93"/>
    </row>
    <row r="682" spans="2:13" x14ac:dyDescent="0.35">
      <c r="B682" s="93">
        <v>120</v>
      </c>
      <c r="C682" s="64" t="s">
        <v>222</v>
      </c>
      <c r="D682" s="64" t="s">
        <v>112</v>
      </c>
      <c r="E682" s="73" t="s">
        <v>490</v>
      </c>
      <c r="F682" s="74">
        <v>25.8832505817001</v>
      </c>
      <c r="G682" s="73" t="s">
        <v>491</v>
      </c>
      <c r="H682" s="74">
        <v>25.952591002085999</v>
      </c>
      <c r="I682" s="75">
        <v>7.73</v>
      </c>
      <c r="J682" s="93" t="s">
        <v>115</v>
      </c>
      <c r="K682" s="93" t="s">
        <v>373</v>
      </c>
      <c r="L682" s="93">
        <v>6</v>
      </c>
      <c r="M682" s="93">
        <f>48-L682</f>
        <v>42</v>
      </c>
    </row>
    <row r="683" spans="2:13" x14ac:dyDescent="0.35">
      <c r="B683" s="93"/>
      <c r="C683" s="64" t="s">
        <v>228</v>
      </c>
      <c r="D683" s="64"/>
      <c r="E683" s="75"/>
      <c r="F683" s="74">
        <v>88.840385234108098</v>
      </c>
      <c r="G683" s="75"/>
      <c r="H683" s="74">
        <v>88.835228328262104</v>
      </c>
      <c r="I683" s="75"/>
      <c r="J683" s="93"/>
      <c r="K683" s="93"/>
      <c r="L683" s="93"/>
      <c r="M683" s="93"/>
    </row>
    <row r="684" spans="2:13" x14ac:dyDescent="0.35">
      <c r="B684" s="93"/>
      <c r="C684" s="64" t="s">
        <v>229</v>
      </c>
      <c r="D684" s="64"/>
      <c r="E684" s="75"/>
      <c r="F684" s="75"/>
      <c r="G684" s="75"/>
      <c r="H684" s="75"/>
      <c r="I684" s="75"/>
      <c r="J684" s="93"/>
      <c r="K684" s="93"/>
      <c r="L684" s="93"/>
      <c r="M684" s="93"/>
    </row>
    <row r="685" spans="2:13" x14ac:dyDescent="0.35">
      <c r="B685" s="93">
        <v>121</v>
      </c>
      <c r="C685" s="64" t="s">
        <v>222</v>
      </c>
      <c r="D685" s="64" t="s">
        <v>112</v>
      </c>
      <c r="E685" s="73" t="s">
        <v>491</v>
      </c>
      <c r="F685" s="74">
        <v>25.952591002085999</v>
      </c>
      <c r="G685" s="73" t="s">
        <v>492</v>
      </c>
      <c r="H685" s="74">
        <v>26.101639256772</v>
      </c>
      <c r="I685" s="75">
        <v>16.399999999999999</v>
      </c>
      <c r="J685" s="93" t="s">
        <v>115</v>
      </c>
      <c r="K685" s="93" t="s">
        <v>373</v>
      </c>
      <c r="L685" s="93">
        <v>6</v>
      </c>
      <c r="M685" s="93">
        <f>48-L685</f>
        <v>42</v>
      </c>
    </row>
    <row r="686" spans="2:13" x14ac:dyDescent="0.35">
      <c r="B686" s="93"/>
      <c r="C686" s="64" t="s">
        <v>228</v>
      </c>
      <c r="D686" s="64"/>
      <c r="E686" s="75"/>
      <c r="F686" s="74">
        <v>88.835228328262104</v>
      </c>
      <c r="G686" s="75"/>
      <c r="H686" s="74">
        <v>88.819557434018606</v>
      </c>
      <c r="I686" s="75"/>
      <c r="J686" s="93"/>
      <c r="K686" s="93"/>
      <c r="L686" s="93"/>
      <c r="M686" s="93"/>
    </row>
    <row r="687" spans="2:13" x14ac:dyDescent="0.35">
      <c r="B687" s="93"/>
      <c r="C687" s="64" t="s">
        <v>229</v>
      </c>
      <c r="D687" s="64"/>
      <c r="E687" s="75"/>
      <c r="F687" s="75"/>
      <c r="G687" s="75"/>
      <c r="H687" s="75"/>
      <c r="I687" s="75"/>
      <c r="J687" s="93"/>
      <c r="K687" s="93"/>
      <c r="L687" s="93"/>
      <c r="M687" s="93"/>
    </row>
    <row r="688" spans="2:13" x14ac:dyDescent="0.35">
      <c r="B688" s="93">
        <v>122</v>
      </c>
      <c r="C688" s="64" t="s">
        <v>222</v>
      </c>
      <c r="D688" s="64" t="s">
        <v>112</v>
      </c>
      <c r="E688" s="73" t="s">
        <v>492</v>
      </c>
      <c r="F688" s="74">
        <v>26.101639256772</v>
      </c>
      <c r="G688" s="73" t="s">
        <v>493</v>
      </c>
      <c r="H688" s="74">
        <v>26.170710925715401</v>
      </c>
      <c r="I688" s="75">
        <v>8.8699999999999992</v>
      </c>
      <c r="J688" s="93" t="s">
        <v>115</v>
      </c>
      <c r="K688" s="93" t="s">
        <v>373</v>
      </c>
      <c r="L688" s="93">
        <v>6</v>
      </c>
      <c r="M688" s="93">
        <f>48-L688</f>
        <v>42</v>
      </c>
    </row>
    <row r="689" spans="2:13" x14ac:dyDescent="0.35">
      <c r="B689" s="93"/>
      <c r="C689" s="64" t="s">
        <v>228</v>
      </c>
      <c r="D689" s="64"/>
      <c r="E689" s="75"/>
      <c r="F689" s="74">
        <v>88.819557434018606</v>
      </c>
      <c r="G689" s="75"/>
      <c r="H689" s="74">
        <v>88.801375553615799</v>
      </c>
      <c r="I689" s="75"/>
      <c r="J689" s="93"/>
      <c r="K689" s="93"/>
      <c r="L689" s="93"/>
      <c r="M689" s="93"/>
    </row>
    <row r="690" spans="2:13" x14ac:dyDescent="0.35">
      <c r="B690" s="93"/>
      <c r="C690" s="64" t="s">
        <v>229</v>
      </c>
      <c r="D690" s="64"/>
      <c r="E690" s="75"/>
      <c r="F690" s="75"/>
      <c r="G690" s="75"/>
      <c r="H690" s="77"/>
      <c r="I690" s="75"/>
      <c r="J690" s="93"/>
      <c r="K690" s="93"/>
      <c r="L690" s="93"/>
      <c r="M690" s="93"/>
    </row>
    <row r="691" spans="2:13" x14ac:dyDescent="0.35">
      <c r="B691" s="93">
        <v>123</v>
      </c>
      <c r="C691" s="64" t="s">
        <v>222</v>
      </c>
      <c r="D691" s="64" t="s">
        <v>112</v>
      </c>
      <c r="E691" s="73" t="s">
        <v>493</v>
      </c>
      <c r="F691" s="74">
        <v>26.170710925715401</v>
      </c>
      <c r="G691" s="73" t="s">
        <v>494</v>
      </c>
      <c r="H691" s="74">
        <v>26.242835917752501</v>
      </c>
      <c r="I691" s="75">
        <v>7.07</v>
      </c>
      <c r="J691" s="93" t="s">
        <v>115</v>
      </c>
      <c r="K691" s="93" t="s">
        <v>373</v>
      </c>
      <c r="L691" s="93">
        <v>6</v>
      </c>
      <c r="M691" s="93">
        <f>48-L691</f>
        <v>42</v>
      </c>
    </row>
    <row r="692" spans="2:13" x14ac:dyDescent="0.35">
      <c r="B692" s="93"/>
      <c r="C692" s="64" t="s">
        <v>228</v>
      </c>
      <c r="D692" s="64"/>
      <c r="E692" s="75"/>
      <c r="F692" s="74">
        <v>88.801375553615799</v>
      </c>
      <c r="G692" s="75"/>
      <c r="H692" s="74">
        <v>88.7964049520873</v>
      </c>
      <c r="I692" s="75"/>
      <c r="J692" s="93"/>
      <c r="K692" s="93"/>
      <c r="L692" s="93"/>
      <c r="M692" s="93"/>
    </row>
    <row r="693" spans="2:13" x14ac:dyDescent="0.35">
      <c r="B693" s="93"/>
      <c r="C693" s="64" t="s">
        <v>229</v>
      </c>
      <c r="D693" s="64"/>
      <c r="E693" s="75"/>
      <c r="F693" s="75"/>
      <c r="G693" s="75"/>
      <c r="H693" s="77"/>
      <c r="I693" s="75"/>
      <c r="J693" s="93"/>
      <c r="K693" s="93"/>
      <c r="L693" s="93"/>
      <c r="M693" s="93"/>
    </row>
    <row r="694" spans="2:13" x14ac:dyDescent="0.35">
      <c r="B694" s="93">
        <v>124</v>
      </c>
      <c r="C694" s="64" t="s">
        <v>222</v>
      </c>
      <c r="D694" s="64" t="s">
        <v>112</v>
      </c>
      <c r="E694" s="73" t="s">
        <v>495</v>
      </c>
      <c r="F694" s="74">
        <v>24.598902213439601</v>
      </c>
      <c r="G694" s="73" t="s">
        <v>496</v>
      </c>
      <c r="H694" s="74">
        <v>24.627728875690998</v>
      </c>
      <c r="I694" s="75">
        <v>12.22</v>
      </c>
      <c r="J694" s="93" t="s">
        <v>115</v>
      </c>
      <c r="K694" s="93" t="s">
        <v>373</v>
      </c>
      <c r="L694" s="93">
        <v>8</v>
      </c>
      <c r="M694" s="93">
        <f>48-L694</f>
        <v>40</v>
      </c>
    </row>
    <row r="695" spans="2:13" x14ac:dyDescent="0.35">
      <c r="B695" s="93"/>
      <c r="C695" s="64" t="s">
        <v>228</v>
      </c>
      <c r="D695" s="64"/>
      <c r="E695" s="75"/>
      <c r="F695" s="74">
        <v>88.280448001629097</v>
      </c>
      <c r="G695" s="75"/>
      <c r="H695" s="74">
        <v>88.398660785396402</v>
      </c>
      <c r="I695" s="75"/>
      <c r="J695" s="93"/>
      <c r="K695" s="93"/>
      <c r="L695" s="93"/>
      <c r="M695" s="93"/>
    </row>
    <row r="696" spans="2:13" x14ac:dyDescent="0.35">
      <c r="B696" s="93"/>
      <c r="C696" s="64" t="s">
        <v>229</v>
      </c>
      <c r="D696" s="64"/>
      <c r="E696" s="75"/>
      <c r="F696" s="75"/>
      <c r="G696" s="75"/>
      <c r="H696" s="77"/>
      <c r="I696" s="75"/>
      <c r="J696" s="93"/>
      <c r="K696" s="93"/>
      <c r="L696" s="93"/>
      <c r="M696" s="93"/>
    </row>
    <row r="697" spans="2:13" x14ac:dyDescent="0.35">
      <c r="B697" s="93">
        <v>125</v>
      </c>
      <c r="C697" s="64" t="s">
        <v>222</v>
      </c>
      <c r="D697" s="64" t="s">
        <v>112</v>
      </c>
      <c r="E697" s="73" t="s">
        <v>496</v>
      </c>
      <c r="F697" s="74">
        <v>24.627728875690998</v>
      </c>
      <c r="G697" s="73" t="s">
        <v>497</v>
      </c>
      <c r="H697" s="74">
        <v>24.615096968189398</v>
      </c>
      <c r="I697" s="75">
        <v>1.4</v>
      </c>
      <c r="J697" s="93" t="s">
        <v>115</v>
      </c>
      <c r="K697" s="93" t="s">
        <v>373</v>
      </c>
      <c r="L697" s="93">
        <v>8</v>
      </c>
      <c r="M697" s="93">
        <f>48-L697</f>
        <v>40</v>
      </c>
    </row>
    <row r="698" spans="2:13" x14ac:dyDescent="0.35">
      <c r="B698" s="93"/>
      <c r="C698" s="64" t="s">
        <v>228</v>
      </c>
      <c r="D698" s="64"/>
      <c r="E698" s="75"/>
      <c r="F698" s="74">
        <v>88.398660785396402</v>
      </c>
      <c r="G698" s="75"/>
      <c r="H698" s="74">
        <v>88.395942695008998</v>
      </c>
      <c r="I698" s="75"/>
      <c r="J698" s="93"/>
      <c r="K698" s="93"/>
      <c r="L698" s="93"/>
      <c r="M698" s="93"/>
    </row>
    <row r="699" spans="2:13" x14ac:dyDescent="0.35">
      <c r="B699" s="93"/>
      <c r="C699" s="64" t="s">
        <v>229</v>
      </c>
      <c r="D699" s="64"/>
      <c r="E699" s="75"/>
      <c r="F699" s="75"/>
      <c r="G699" s="75"/>
      <c r="H699" s="77"/>
      <c r="I699" s="75"/>
      <c r="J699" s="93"/>
      <c r="K699" s="93"/>
      <c r="L699" s="93"/>
      <c r="M699" s="93"/>
    </row>
    <row r="700" spans="2:13" x14ac:dyDescent="0.35">
      <c r="B700" s="93">
        <v>126</v>
      </c>
      <c r="C700" s="64" t="s">
        <v>222</v>
      </c>
      <c r="D700" s="64" t="s">
        <v>112</v>
      </c>
      <c r="E700" s="73" t="s">
        <v>496</v>
      </c>
      <c r="F700" s="74">
        <v>24.627728875690998</v>
      </c>
      <c r="G700" s="73" t="s">
        <v>498</v>
      </c>
      <c r="H700" s="74">
        <v>24.724782778963998</v>
      </c>
      <c r="I700" s="75">
        <v>11.34</v>
      </c>
      <c r="J700" s="93" t="s">
        <v>115</v>
      </c>
      <c r="K700" s="93" t="s">
        <v>300</v>
      </c>
      <c r="L700" s="93">
        <v>8</v>
      </c>
      <c r="M700" s="93">
        <f>48-L700</f>
        <v>40</v>
      </c>
    </row>
    <row r="701" spans="2:13" x14ac:dyDescent="0.35">
      <c r="B701" s="93"/>
      <c r="C701" s="64" t="s">
        <v>228</v>
      </c>
      <c r="D701" s="64"/>
      <c r="E701" s="75"/>
      <c r="F701" s="74">
        <v>88.398660785396402</v>
      </c>
      <c r="G701" s="75"/>
      <c r="H701" s="74">
        <v>88.402627938833305</v>
      </c>
      <c r="I701" s="75"/>
      <c r="J701" s="93"/>
      <c r="K701" s="93"/>
      <c r="L701" s="93"/>
      <c r="M701" s="93"/>
    </row>
    <row r="702" spans="2:13" x14ac:dyDescent="0.35">
      <c r="B702" s="93"/>
      <c r="C702" s="64" t="s">
        <v>229</v>
      </c>
      <c r="D702" s="64"/>
      <c r="E702" s="75"/>
      <c r="F702" s="75"/>
      <c r="G702" s="75"/>
      <c r="H702" s="77"/>
      <c r="I702" s="75"/>
      <c r="J702" s="93"/>
      <c r="K702" s="93"/>
      <c r="L702" s="93"/>
      <c r="M702" s="93"/>
    </row>
    <row r="703" spans="2:13" x14ac:dyDescent="0.35">
      <c r="B703" s="93">
        <v>127</v>
      </c>
      <c r="C703" s="64" t="s">
        <v>222</v>
      </c>
      <c r="D703" s="64" t="s">
        <v>112</v>
      </c>
      <c r="E703" s="73" t="s">
        <v>498</v>
      </c>
      <c r="F703" s="74">
        <v>24.724782778963998</v>
      </c>
      <c r="G703" s="73" t="s">
        <v>499</v>
      </c>
      <c r="H703" s="74">
        <v>24.8207068940022</v>
      </c>
      <c r="I703" s="75">
        <v>13.82</v>
      </c>
      <c r="J703" s="93" t="s">
        <v>115</v>
      </c>
      <c r="K703" s="93" t="s">
        <v>373</v>
      </c>
      <c r="L703" s="93">
        <v>8</v>
      </c>
      <c r="M703" s="93">
        <f>48-L703</f>
        <v>40</v>
      </c>
    </row>
    <row r="704" spans="2:13" x14ac:dyDescent="0.35">
      <c r="B704" s="93"/>
      <c r="C704" s="64" t="s">
        <v>228</v>
      </c>
      <c r="D704" s="64"/>
      <c r="E704" s="75"/>
      <c r="F704" s="74">
        <v>88.402627938833305</v>
      </c>
      <c r="G704" s="75"/>
      <c r="H704" s="74">
        <v>88.319411412181594</v>
      </c>
      <c r="I704" s="75"/>
      <c r="J704" s="93"/>
      <c r="K704" s="93"/>
      <c r="L704" s="93"/>
      <c r="M704" s="93"/>
    </row>
    <row r="705" spans="2:13" x14ac:dyDescent="0.35">
      <c r="B705" s="93"/>
      <c r="C705" s="64" t="s">
        <v>229</v>
      </c>
      <c r="D705" s="64"/>
      <c r="E705" s="75"/>
      <c r="F705" s="75"/>
      <c r="G705" s="75"/>
      <c r="H705" s="77"/>
      <c r="I705" s="75"/>
      <c r="J705" s="93"/>
      <c r="K705" s="93"/>
      <c r="L705" s="93"/>
      <c r="M705" s="93"/>
    </row>
    <row r="706" spans="2:13" x14ac:dyDescent="0.35">
      <c r="B706" s="93">
        <v>128</v>
      </c>
      <c r="C706" s="64" t="s">
        <v>222</v>
      </c>
      <c r="D706" s="64" t="s">
        <v>112</v>
      </c>
      <c r="E706" s="73" t="s">
        <v>496</v>
      </c>
      <c r="F706" s="74">
        <v>24.627728875690998</v>
      </c>
      <c r="G706" s="73" t="s">
        <v>500</v>
      </c>
      <c r="H706" s="74">
        <v>24.5070505281004</v>
      </c>
      <c r="I706" s="75">
        <v>15.63</v>
      </c>
      <c r="J706" s="93" t="s">
        <v>115</v>
      </c>
      <c r="K706" s="93" t="s">
        <v>373</v>
      </c>
      <c r="L706" s="93">
        <v>8</v>
      </c>
      <c r="M706" s="93">
        <f>48-L706</f>
        <v>40</v>
      </c>
    </row>
    <row r="707" spans="2:13" x14ac:dyDescent="0.35">
      <c r="B707" s="93"/>
      <c r="C707" s="64" t="s">
        <v>228</v>
      </c>
      <c r="D707" s="64"/>
      <c r="E707" s="75"/>
      <c r="F707" s="74">
        <v>88.398660785396402</v>
      </c>
      <c r="G707" s="75"/>
      <c r="H707" s="74">
        <v>88.471670597745202</v>
      </c>
      <c r="I707" s="75"/>
      <c r="J707" s="93"/>
      <c r="K707" s="93"/>
      <c r="L707" s="93"/>
      <c r="M707" s="93"/>
    </row>
    <row r="708" spans="2:13" x14ac:dyDescent="0.35">
      <c r="B708" s="93"/>
      <c r="C708" s="64" t="s">
        <v>229</v>
      </c>
      <c r="D708" s="64"/>
      <c r="E708" s="75"/>
      <c r="F708" s="75"/>
      <c r="G708" s="75"/>
      <c r="H708" s="75"/>
      <c r="I708" s="75"/>
      <c r="J708" s="93"/>
      <c r="K708" s="93"/>
      <c r="L708" s="93"/>
      <c r="M708" s="93"/>
    </row>
    <row r="709" spans="2:13" x14ac:dyDescent="0.35">
      <c r="B709" s="93">
        <v>129</v>
      </c>
      <c r="C709" s="64" t="s">
        <v>222</v>
      </c>
      <c r="D709" s="64" t="s">
        <v>112</v>
      </c>
      <c r="E709" s="73" t="s">
        <v>500</v>
      </c>
      <c r="F709" s="74">
        <v>24.5070505281004</v>
      </c>
      <c r="G709" s="73" t="s">
        <v>501</v>
      </c>
      <c r="H709" s="74">
        <v>24.421532752839799</v>
      </c>
      <c r="I709" s="75">
        <v>11.24</v>
      </c>
      <c r="J709" s="93" t="s">
        <v>115</v>
      </c>
      <c r="K709" s="93" t="s">
        <v>373</v>
      </c>
      <c r="L709" s="93">
        <v>8</v>
      </c>
      <c r="M709" s="93">
        <f>48-L709</f>
        <v>40</v>
      </c>
    </row>
    <row r="710" spans="2:13" x14ac:dyDescent="0.35">
      <c r="B710" s="93"/>
      <c r="C710" s="64" t="s">
        <v>228</v>
      </c>
      <c r="D710" s="64"/>
      <c r="E710" s="75"/>
      <c r="F710" s="74">
        <v>88.471670597745202</v>
      </c>
      <c r="G710" s="75"/>
      <c r="H710" s="74">
        <v>88.526954486353802</v>
      </c>
      <c r="I710" s="75"/>
      <c r="J710" s="93"/>
      <c r="K710" s="93"/>
      <c r="L710" s="93"/>
      <c r="M710" s="93"/>
    </row>
    <row r="711" spans="2:13" x14ac:dyDescent="0.35">
      <c r="B711" s="93"/>
      <c r="C711" s="64" t="s">
        <v>229</v>
      </c>
      <c r="D711" s="64"/>
      <c r="E711" s="75"/>
      <c r="F711" s="75"/>
      <c r="G711" s="75"/>
      <c r="H711" s="75"/>
      <c r="I711" s="75"/>
      <c r="J711" s="93"/>
      <c r="K711" s="93"/>
      <c r="L711" s="93"/>
      <c r="M711" s="93"/>
    </row>
    <row r="712" spans="2:13" x14ac:dyDescent="0.35">
      <c r="B712" s="93">
        <v>130</v>
      </c>
      <c r="C712" s="64" t="s">
        <v>222</v>
      </c>
      <c r="D712" s="64" t="s">
        <v>112</v>
      </c>
      <c r="E712" s="73" t="s">
        <v>501</v>
      </c>
      <c r="F712" s="74">
        <v>24.421532752839799</v>
      </c>
      <c r="G712" s="73" t="s">
        <v>502</v>
      </c>
      <c r="H712" s="74">
        <v>24.375011000000001</v>
      </c>
      <c r="I712" s="75">
        <v>10.93</v>
      </c>
      <c r="J712" s="93" t="s">
        <v>115</v>
      </c>
      <c r="K712" s="93" t="s">
        <v>373</v>
      </c>
      <c r="L712" s="93">
        <v>8</v>
      </c>
      <c r="M712" s="93">
        <f>48-L712</f>
        <v>40</v>
      </c>
    </row>
    <row r="713" spans="2:13" x14ac:dyDescent="0.35">
      <c r="B713" s="93"/>
      <c r="C713" s="64" t="s">
        <v>228</v>
      </c>
      <c r="D713" s="64"/>
      <c r="E713" s="75"/>
      <c r="F713" s="74">
        <v>88.526954486353802</v>
      </c>
      <c r="G713" s="75"/>
      <c r="H713" s="74">
        <v>88.608267999999995</v>
      </c>
      <c r="I713" s="75"/>
      <c r="J713" s="93"/>
      <c r="K713" s="93"/>
      <c r="L713" s="93"/>
      <c r="M713" s="93"/>
    </row>
    <row r="714" spans="2:13" x14ac:dyDescent="0.35">
      <c r="B714" s="93"/>
      <c r="C714" s="64" t="s">
        <v>229</v>
      </c>
      <c r="D714" s="64"/>
      <c r="E714" s="75"/>
      <c r="F714" s="75"/>
      <c r="G714" s="75"/>
      <c r="H714" s="75"/>
      <c r="I714" s="75"/>
      <c r="J714" s="93"/>
      <c r="K714" s="93"/>
      <c r="L714" s="93"/>
      <c r="M714" s="93"/>
    </row>
    <row r="715" spans="2:13" x14ac:dyDescent="0.35">
      <c r="B715" s="93">
        <v>131</v>
      </c>
      <c r="C715" s="64" t="s">
        <v>222</v>
      </c>
      <c r="D715" s="64" t="s">
        <v>112</v>
      </c>
      <c r="E715" s="73" t="s">
        <v>502</v>
      </c>
      <c r="F715" s="74">
        <v>24.375011000000001</v>
      </c>
      <c r="G715" s="73" t="s">
        <v>503</v>
      </c>
      <c r="H715" s="74">
        <v>24.375422171053302</v>
      </c>
      <c r="I715" s="75">
        <v>7.52</v>
      </c>
      <c r="J715" s="93" t="s">
        <v>115</v>
      </c>
      <c r="K715" s="93" t="s">
        <v>373</v>
      </c>
      <c r="L715" s="93">
        <v>28</v>
      </c>
      <c r="M715" s="93">
        <f>48-L715</f>
        <v>20</v>
      </c>
    </row>
    <row r="716" spans="2:13" x14ac:dyDescent="0.35">
      <c r="B716" s="93"/>
      <c r="C716" s="64" t="s">
        <v>228</v>
      </c>
      <c r="D716" s="64"/>
      <c r="E716" s="75"/>
      <c r="F716" s="74">
        <v>88.608267999999995</v>
      </c>
      <c r="G716" s="75"/>
      <c r="H716" s="74">
        <v>88.685874556651697</v>
      </c>
      <c r="I716" s="75"/>
      <c r="J716" s="93"/>
      <c r="K716" s="93"/>
      <c r="L716" s="93"/>
      <c r="M716" s="93"/>
    </row>
    <row r="717" spans="2:13" x14ac:dyDescent="0.35">
      <c r="B717" s="93"/>
      <c r="C717" s="64" t="s">
        <v>229</v>
      </c>
      <c r="D717" s="64"/>
      <c r="E717" s="75"/>
      <c r="F717" s="75"/>
      <c r="G717" s="75"/>
      <c r="H717" s="75"/>
      <c r="I717" s="75"/>
      <c r="J717" s="93"/>
      <c r="K717" s="93"/>
      <c r="L717" s="93"/>
      <c r="M717" s="93"/>
    </row>
    <row r="718" spans="2:13" x14ac:dyDescent="0.35">
      <c r="B718" s="93">
        <v>132</v>
      </c>
      <c r="C718" s="64" t="s">
        <v>222</v>
      </c>
      <c r="D718" s="64" t="s">
        <v>112</v>
      </c>
      <c r="E718" s="73" t="s">
        <v>503</v>
      </c>
      <c r="F718" s="74">
        <v>24.375422171053302</v>
      </c>
      <c r="G718" s="73" t="s">
        <v>504</v>
      </c>
      <c r="H718" s="74">
        <v>24.337251048067198</v>
      </c>
      <c r="I718" s="75">
        <v>8.5500000000000007</v>
      </c>
      <c r="J718" s="93" t="s">
        <v>115</v>
      </c>
      <c r="K718" s="93" t="s">
        <v>373</v>
      </c>
      <c r="L718" s="93">
        <v>28</v>
      </c>
      <c r="M718" s="93">
        <f>48-L718</f>
        <v>20</v>
      </c>
    </row>
    <row r="719" spans="2:13" x14ac:dyDescent="0.35">
      <c r="B719" s="93"/>
      <c r="C719" s="64" t="s">
        <v>228</v>
      </c>
      <c r="D719" s="64"/>
      <c r="E719" s="75"/>
      <c r="F719" s="74">
        <v>88.685874556651697</v>
      </c>
      <c r="G719" s="75"/>
      <c r="H719" s="74">
        <v>88.752388875408499</v>
      </c>
      <c r="I719" s="75"/>
      <c r="J719" s="93"/>
      <c r="K719" s="93"/>
      <c r="L719" s="93"/>
      <c r="M719" s="93"/>
    </row>
    <row r="720" spans="2:13" x14ac:dyDescent="0.35">
      <c r="B720" s="93"/>
      <c r="C720" s="64" t="s">
        <v>229</v>
      </c>
      <c r="D720" s="64"/>
      <c r="E720" s="75"/>
      <c r="F720" s="75"/>
      <c r="G720" s="75"/>
      <c r="H720" s="75"/>
      <c r="I720" s="75"/>
      <c r="J720" s="93"/>
      <c r="K720" s="93"/>
      <c r="L720" s="93"/>
      <c r="M720" s="93"/>
    </row>
    <row r="721" spans="2:13" x14ac:dyDescent="0.35">
      <c r="B721" s="93">
        <v>133</v>
      </c>
      <c r="C721" s="64" t="s">
        <v>222</v>
      </c>
      <c r="D721" s="64" t="s">
        <v>112</v>
      </c>
      <c r="E721" s="73" t="s">
        <v>504</v>
      </c>
      <c r="F721" s="74">
        <v>24.337251048067198</v>
      </c>
      <c r="G721" s="73" t="s">
        <v>505</v>
      </c>
      <c r="H721" s="74">
        <v>24.315148744910299</v>
      </c>
      <c r="I721" s="75">
        <v>5.64</v>
      </c>
      <c r="J721" s="93" t="s">
        <v>115</v>
      </c>
      <c r="K721" s="93" t="s">
        <v>373</v>
      </c>
      <c r="L721" s="93">
        <v>28</v>
      </c>
      <c r="M721" s="93">
        <f>48-L721</f>
        <v>20</v>
      </c>
    </row>
    <row r="722" spans="2:13" x14ac:dyDescent="0.35">
      <c r="B722" s="93"/>
      <c r="C722" s="64" t="s">
        <v>228</v>
      </c>
      <c r="D722" s="64"/>
      <c r="E722" s="75"/>
      <c r="F722" s="74">
        <v>88.752388875408499</v>
      </c>
      <c r="G722" s="75"/>
      <c r="H722" s="74">
        <v>88.801432782520493</v>
      </c>
      <c r="I722" s="75"/>
      <c r="J722" s="93"/>
      <c r="K722" s="93"/>
      <c r="L722" s="93"/>
      <c r="M722" s="93"/>
    </row>
    <row r="723" spans="2:13" x14ac:dyDescent="0.35">
      <c r="B723" s="93"/>
      <c r="C723" s="64" t="s">
        <v>229</v>
      </c>
      <c r="D723" s="64"/>
      <c r="E723" s="75"/>
      <c r="F723" s="75"/>
      <c r="G723" s="75"/>
      <c r="H723" s="75"/>
      <c r="I723" s="75"/>
      <c r="J723" s="93"/>
      <c r="K723" s="93"/>
      <c r="L723" s="93"/>
      <c r="M723" s="93"/>
    </row>
    <row r="724" spans="2:13" x14ac:dyDescent="0.35">
      <c r="B724" s="93">
        <v>134</v>
      </c>
      <c r="C724" s="64" t="s">
        <v>222</v>
      </c>
      <c r="D724" s="64" t="s">
        <v>112</v>
      </c>
      <c r="E724" s="73" t="s">
        <v>505</v>
      </c>
      <c r="F724" s="74">
        <v>24.315148744910299</v>
      </c>
      <c r="G724" s="73" t="s">
        <v>506</v>
      </c>
      <c r="H724" s="74">
        <v>24.290855000000001</v>
      </c>
      <c r="I724" s="75">
        <v>8.7100000000000009</v>
      </c>
      <c r="J724" s="93" t="s">
        <v>115</v>
      </c>
      <c r="K724" s="93" t="s">
        <v>373</v>
      </c>
      <c r="L724" s="93">
        <v>28</v>
      </c>
      <c r="M724" s="93">
        <f>48-L724</f>
        <v>20</v>
      </c>
    </row>
    <row r="725" spans="2:13" x14ac:dyDescent="0.35">
      <c r="B725" s="93"/>
      <c r="C725" s="64" t="s">
        <v>228</v>
      </c>
      <c r="D725" s="64"/>
      <c r="E725" s="75"/>
      <c r="F725" s="74">
        <v>88.801432782520493</v>
      </c>
      <c r="G725" s="75"/>
      <c r="H725" s="74">
        <v>88.879698000000005</v>
      </c>
      <c r="I725" s="75"/>
      <c r="J725" s="93"/>
      <c r="K725" s="93"/>
      <c r="L725" s="93"/>
      <c r="M725" s="93"/>
    </row>
    <row r="726" spans="2:13" x14ac:dyDescent="0.35">
      <c r="B726" s="93"/>
      <c r="C726" s="64" t="s">
        <v>229</v>
      </c>
      <c r="D726" s="64"/>
      <c r="E726" s="75"/>
      <c r="F726" s="75"/>
      <c r="G726" s="75"/>
      <c r="H726" s="77"/>
      <c r="I726" s="75"/>
      <c r="J726" s="93"/>
      <c r="K726" s="93"/>
      <c r="L726" s="93"/>
      <c r="M726" s="93"/>
    </row>
    <row r="727" spans="2:13" x14ac:dyDescent="0.35">
      <c r="B727" s="93">
        <v>135</v>
      </c>
      <c r="C727" s="64" t="s">
        <v>222</v>
      </c>
      <c r="D727" s="64" t="s">
        <v>112</v>
      </c>
      <c r="E727" s="73" t="s">
        <v>506</v>
      </c>
      <c r="F727" s="74">
        <v>24.290855000000001</v>
      </c>
      <c r="G727" s="73" t="s">
        <v>468</v>
      </c>
      <c r="H727" s="74">
        <v>24.259937000000001</v>
      </c>
      <c r="I727" s="75">
        <v>10.52</v>
      </c>
      <c r="J727" s="93" t="s">
        <v>115</v>
      </c>
      <c r="K727" s="93" t="s">
        <v>373</v>
      </c>
      <c r="L727" s="93">
        <v>28</v>
      </c>
      <c r="M727" s="93">
        <f>48-L727</f>
        <v>20</v>
      </c>
    </row>
    <row r="728" spans="2:13" x14ac:dyDescent="0.35">
      <c r="B728" s="93"/>
      <c r="C728" s="64" t="s">
        <v>228</v>
      </c>
      <c r="D728" s="64"/>
      <c r="E728" s="75"/>
      <c r="F728" s="74">
        <v>88.879698000000005</v>
      </c>
      <c r="G728" s="75"/>
      <c r="H728" s="74">
        <v>88.971693000000002</v>
      </c>
      <c r="I728" s="75"/>
      <c r="J728" s="93"/>
      <c r="K728" s="93"/>
      <c r="L728" s="93"/>
      <c r="M728" s="93"/>
    </row>
    <row r="729" spans="2:13" x14ac:dyDescent="0.35">
      <c r="B729" s="93"/>
      <c r="C729" s="64" t="s">
        <v>229</v>
      </c>
      <c r="D729" s="64"/>
      <c r="E729" s="75"/>
      <c r="F729" s="75"/>
      <c r="G729" s="75"/>
      <c r="H729" s="77"/>
      <c r="I729" s="75"/>
      <c r="J729" s="93"/>
      <c r="K729" s="93"/>
      <c r="L729" s="93"/>
      <c r="M729" s="93"/>
    </row>
    <row r="730" spans="2:13" x14ac:dyDescent="0.35">
      <c r="B730" s="93">
        <v>136</v>
      </c>
      <c r="C730" s="64" t="s">
        <v>222</v>
      </c>
      <c r="D730" s="64" t="s">
        <v>112</v>
      </c>
      <c r="E730" s="73" t="s">
        <v>507</v>
      </c>
      <c r="F730" s="74">
        <v>24.155142999999999</v>
      </c>
      <c r="G730" s="73" t="s">
        <v>508</v>
      </c>
      <c r="H730" s="74">
        <v>24.164576</v>
      </c>
      <c r="I730" s="75">
        <v>8.1199999999999992</v>
      </c>
      <c r="J730" s="93" t="s">
        <v>115</v>
      </c>
      <c r="K730" s="93" t="s">
        <v>373</v>
      </c>
      <c r="L730" s="93">
        <v>30</v>
      </c>
      <c r="M730" s="93">
        <f>48-L730</f>
        <v>18</v>
      </c>
    </row>
    <row r="731" spans="2:13" x14ac:dyDescent="0.35">
      <c r="B731" s="93"/>
      <c r="C731" s="64" t="s">
        <v>228</v>
      </c>
      <c r="D731" s="64"/>
      <c r="E731" s="75"/>
      <c r="F731" s="74">
        <v>89.057552000000001</v>
      </c>
      <c r="G731" s="75"/>
      <c r="H731" s="74">
        <v>89.146726999999998</v>
      </c>
      <c r="I731" s="75"/>
      <c r="J731" s="93"/>
      <c r="K731" s="93"/>
      <c r="L731" s="93"/>
      <c r="M731" s="93"/>
    </row>
    <row r="732" spans="2:13" x14ac:dyDescent="0.35">
      <c r="B732" s="93"/>
      <c r="C732" s="64" t="s">
        <v>229</v>
      </c>
      <c r="D732" s="64"/>
      <c r="E732" s="75"/>
      <c r="F732" s="75"/>
      <c r="G732" s="75"/>
      <c r="H732" s="75"/>
      <c r="I732" s="75"/>
      <c r="J732" s="93"/>
      <c r="K732" s="93"/>
      <c r="L732" s="93"/>
      <c r="M732" s="93"/>
    </row>
    <row r="733" spans="2:13" x14ac:dyDescent="0.35">
      <c r="B733" s="93">
        <v>137</v>
      </c>
      <c r="C733" s="64" t="s">
        <v>222</v>
      </c>
      <c r="D733" s="64" t="s">
        <v>112</v>
      </c>
      <c r="E733" s="73" t="s">
        <v>508</v>
      </c>
      <c r="F733" s="74">
        <v>24.164576</v>
      </c>
      <c r="G733" s="73" t="s">
        <v>509</v>
      </c>
      <c r="H733" s="74">
        <v>24.188790000000001</v>
      </c>
      <c r="I733" s="75">
        <v>13.07</v>
      </c>
      <c r="J733" s="93" t="s">
        <v>115</v>
      </c>
      <c r="K733" s="93" t="s">
        <v>373</v>
      </c>
      <c r="L733" s="93">
        <v>30</v>
      </c>
      <c r="M733" s="93">
        <f>48-L733</f>
        <v>18</v>
      </c>
    </row>
    <row r="734" spans="2:13" x14ac:dyDescent="0.35">
      <c r="B734" s="93"/>
      <c r="C734" s="64" t="s">
        <v>228</v>
      </c>
      <c r="D734" s="64"/>
      <c r="E734" s="75"/>
      <c r="F734" s="74">
        <v>89.146726999999998</v>
      </c>
      <c r="G734" s="75"/>
      <c r="H734" s="74">
        <v>89.274905000000004</v>
      </c>
      <c r="I734" s="75"/>
      <c r="J734" s="93"/>
      <c r="K734" s="93"/>
      <c r="L734" s="93"/>
      <c r="M734" s="93"/>
    </row>
    <row r="735" spans="2:13" x14ac:dyDescent="0.35">
      <c r="B735" s="93"/>
      <c r="C735" s="64" t="s">
        <v>229</v>
      </c>
      <c r="D735" s="64"/>
      <c r="E735" s="75"/>
      <c r="F735" s="75"/>
      <c r="G735" s="75"/>
      <c r="H735" s="75"/>
      <c r="I735" s="75"/>
      <c r="J735" s="93"/>
      <c r="K735" s="93"/>
      <c r="L735" s="93"/>
      <c r="M735" s="93"/>
    </row>
    <row r="736" spans="2:13" x14ac:dyDescent="0.35">
      <c r="B736" s="93">
        <v>138</v>
      </c>
      <c r="C736" s="64" t="s">
        <v>222</v>
      </c>
      <c r="D736" s="64" t="s">
        <v>112</v>
      </c>
      <c r="E736" s="73" t="s">
        <v>509</v>
      </c>
      <c r="F736" s="74">
        <v>24.188790000000001</v>
      </c>
      <c r="G736" s="73" t="s">
        <v>510</v>
      </c>
      <c r="H736" s="74">
        <v>24.214903</v>
      </c>
      <c r="I736" s="75">
        <v>9.59</v>
      </c>
      <c r="J736" s="93" t="s">
        <v>115</v>
      </c>
      <c r="K736" s="93" t="s">
        <v>373</v>
      </c>
      <c r="L736" s="93">
        <v>30</v>
      </c>
      <c r="M736" s="93">
        <f>48-L736</f>
        <v>18</v>
      </c>
    </row>
    <row r="737" spans="2:13" x14ac:dyDescent="0.35">
      <c r="B737" s="93"/>
      <c r="C737" s="64" t="s">
        <v>228</v>
      </c>
      <c r="D737" s="64"/>
      <c r="E737" s="75"/>
      <c r="F737" s="74">
        <v>89.274905000000004</v>
      </c>
      <c r="G737" s="75"/>
      <c r="H737" s="74">
        <v>89.380730999999997</v>
      </c>
      <c r="I737" s="75"/>
      <c r="J737" s="93"/>
      <c r="K737" s="93"/>
      <c r="L737" s="93"/>
      <c r="M737" s="93"/>
    </row>
    <row r="738" spans="2:13" x14ac:dyDescent="0.35">
      <c r="B738" s="93"/>
      <c r="C738" s="64" t="s">
        <v>229</v>
      </c>
      <c r="D738" s="64"/>
      <c r="E738" s="75"/>
      <c r="F738" s="75"/>
      <c r="G738" s="75"/>
      <c r="H738" s="75"/>
      <c r="I738" s="75"/>
      <c r="J738" s="93"/>
      <c r="K738" s="93"/>
      <c r="L738" s="93"/>
      <c r="M738" s="93"/>
    </row>
    <row r="739" spans="2:13" x14ac:dyDescent="0.35">
      <c r="B739" s="93">
        <v>139</v>
      </c>
      <c r="C739" s="64" t="s">
        <v>222</v>
      </c>
      <c r="D739" s="64" t="s">
        <v>112</v>
      </c>
      <c r="E739" s="73" t="s">
        <v>510</v>
      </c>
      <c r="F739" s="74">
        <v>24.214903</v>
      </c>
      <c r="G739" s="73" t="s">
        <v>511</v>
      </c>
      <c r="H739" s="74">
        <v>13.103061</v>
      </c>
      <c r="I739" s="75">
        <v>4.24</v>
      </c>
      <c r="J739" s="93" t="s">
        <v>115</v>
      </c>
      <c r="K739" s="93" t="s">
        <v>373</v>
      </c>
      <c r="L739" s="93">
        <v>30</v>
      </c>
      <c r="M739" s="93">
        <f>48-L739</f>
        <v>18</v>
      </c>
    </row>
    <row r="740" spans="2:13" x14ac:dyDescent="0.35">
      <c r="B740" s="93"/>
      <c r="C740" s="64" t="s">
        <v>228</v>
      </c>
      <c r="D740" s="64"/>
      <c r="E740" s="75"/>
      <c r="F740" s="74">
        <v>89.380730999999997</v>
      </c>
      <c r="G740" s="75"/>
      <c r="H740" s="74">
        <v>80.179400000000001</v>
      </c>
      <c r="I740" s="75"/>
      <c r="J740" s="93"/>
      <c r="K740" s="93"/>
      <c r="L740" s="93"/>
      <c r="M740" s="93"/>
    </row>
    <row r="741" spans="2:13" x14ac:dyDescent="0.35">
      <c r="B741" s="93"/>
      <c r="C741" s="64" t="s">
        <v>229</v>
      </c>
      <c r="D741" s="64"/>
      <c r="E741" s="75"/>
      <c r="F741" s="75"/>
      <c r="G741" s="75"/>
      <c r="H741" s="75"/>
      <c r="I741" s="75"/>
      <c r="J741" s="93"/>
      <c r="K741" s="93"/>
      <c r="L741" s="93"/>
      <c r="M741" s="93"/>
    </row>
    <row r="742" spans="2:13" x14ac:dyDescent="0.35">
      <c r="B742" s="93">
        <v>140</v>
      </c>
      <c r="C742" s="64" t="s">
        <v>222</v>
      </c>
      <c r="D742" s="64" t="s">
        <v>112</v>
      </c>
      <c r="E742" s="73" t="s">
        <v>511</v>
      </c>
      <c r="F742" s="74">
        <v>13.103061</v>
      </c>
      <c r="G742" s="73" t="s">
        <v>512</v>
      </c>
      <c r="H742" s="74">
        <v>24.260522000000002</v>
      </c>
      <c r="I742" s="75">
        <v>10.5</v>
      </c>
      <c r="J742" s="93" t="s">
        <v>115</v>
      </c>
      <c r="K742" s="93" t="s">
        <v>373</v>
      </c>
      <c r="L742" s="93">
        <v>30</v>
      </c>
      <c r="M742" s="93">
        <f>48-L742</f>
        <v>18</v>
      </c>
    </row>
    <row r="743" spans="2:13" x14ac:dyDescent="0.35">
      <c r="B743" s="93"/>
      <c r="C743" s="64" t="s">
        <v>228</v>
      </c>
      <c r="D743" s="64"/>
      <c r="E743" s="75"/>
      <c r="F743" s="74">
        <v>80.179400000000001</v>
      </c>
      <c r="G743" s="75"/>
      <c r="H743" s="74">
        <v>89.498683999999997</v>
      </c>
      <c r="I743" s="75"/>
      <c r="J743" s="93"/>
      <c r="K743" s="93"/>
      <c r="L743" s="93"/>
      <c r="M743" s="93"/>
    </row>
    <row r="744" spans="2:13" x14ac:dyDescent="0.35">
      <c r="B744" s="93"/>
      <c r="C744" s="64" t="s">
        <v>229</v>
      </c>
      <c r="D744" s="64"/>
      <c r="E744" s="75"/>
      <c r="F744" s="75"/>
      <c r="G744" s="75"/>
      <c r="H744" s="75"/>
      <c r="I744" s="75"/>
      <c r="J744" s="93"/>
      <c r="K744" s="93"/>
      <c r="L744" s="93"/>
      <c r="M744" s="93"/>
    </row>
    <row r="745" spans="2:13" x14ac:dyDescent="0.35">
      <c r="B745" s="93">
        <v>141</v>
      </c>
      <c r="C745" s="64" t="s">
        <v>222</v>
      </c>
      <c r="D745" s="64" t="s">
        <v>112</v>
      </c>
      <c r="E745" s="73" t="s">
        <v>512</v>
      </c>
      <c r="F745" s="74">
        <v>24.260522000000002</v>
      </c>
      <c r="G745" s="73" t="s">
        <v>513</v>
      </c>
      <c r="H745" s="74">
        <v>24.290268000000001</v>
      </c>
      <c r="I745" s="75">
        <v>8.08</v>
      </c>
      <c r="J745" s="93" t="s">
        <v>115</v>
      </c>
      <c r="K745" s="93" t="s">
        <v>373</v>
      </c>
      <c r="L745" s="93">
        <v>30</v>
      </c>
      <c r="M745" s="93">
        <f>48-L745</f>
        <v>18</v>
      </c>
    </row>
    <row r="746" spans="2:13" x14ac:dyDescent="0.35">
      <c r="B746" s="93"/>
      <c r="C746" s="64" t="s">
        <v>228</v>
      </c>
      <c r="D746" s="64"/>
      <c r="E746" s="75"/>
      <c r="F746" s="74">
        <v>89.498683999999997</v>
      </c>
      <c r="G746" s="75"/>
      <c r="H746" s="74">
        <v>89.570836999999997</v>
      </c>
      <c r="I746" s="75"/>
      <c r="J746" s="93"/>
      <c r="K746" s="93"/>
      <c r="L746" s="93"/>
      <c r="M746" s="93"/>
    </row>
    <row r="747" spans="2:13" x14ac:dyDescent="0.35">
      <c r="B747" s="93"/>
      <c r="C747" s="64" t="s">
        <v>229</v>
      </c>
      <c r="D747" s="64"/>
      <c r="E747" s="75"/>
      <c r="F747" s="75"/>
      <c r="G747" s="75"/>
      <c r="H747" s="77"/>
      <c r="I747" s="75"/>
      <c r="J747" s="93"/>
      <c r="K747" s="93"/>
      <c r="L747" s="93"/>
      <c r="M747" s="93"/>
    </row>
    <row r="748" spans="2:13" x14ac:dyDescent="0.35">
      <c r="B748" s="93">
        <v>142</v>
      </c>
      <c r="C748" s="64" t="s">
        <v>222</v>
      </c>
      <c r="D748" s="64" t="s">
        <v>112</v>
      </c>
      <c r="E748" s="73" t="s">
        <v>513</v>
      </c>
      <c r="F748" s="74">
        <v>24.290268000000001</v>
      </c>
      <c r="G748" s="73" t="s">
        <v>514</v>
      </c>
      <c r="H748" s="74">
        <v>24.361163254747598</v>
      </c>
      <c r="I748" s="75">
        <v>12.42</v>
      </c>
      <c r="J748" s="93" t="s">
        <v>115</v>
      </c>
      <c r="K748" s="93" t="s">
        <v>373</v>
      </c>
      <c r="L748" s="93">
        <v>30</v>
      </c>
      <c r="M748" s="93">
        <f>48-L748</f>
        <v>18</v>
      </c>
    </row>
    <row r="749" spans="2:13" x14ac:dyDescent="0.35">
      <c r="B749" s="93"/>
      <c r="C749" s="64" t="s">
        <v>228</v>
      </c>
      <c r="D749" s="64"/>
      <c r="E749" s="75"/>
      <c r="F749" s="74">
        <v>89.570836999999997</v>
      </c>
      <c r="G749" s="75"/>
      <c r="H749" s="74">
        <v>89.660238445771995</v>
      </c>
      <c r="I749" s="75"/>
      <c r="J749" s="93"/>
      <c r="K749" s="93"/>
      <c r="L749" s="93"/>
      <c r="M749" s="93"/>
    </row>
    <row r="750" spans="2:13" x14ac:dyDescent="0.35">
      <c r="B750" s="93"/>
      <c r="C750" s="64" t="s">
        <v>229</v>
      </c>
      <c r="D750" s="64"/>
      <c r="E750" s="75"/>
      <c r="F750" s="75"/>
      <c r="G750" s="75"/>
      <c r="H750" s="77"/>
      <c r="I750" s="75"/>
      <c r="J750" s="93"/>
      <c r="K750" s="93"/>
      <c r="L750" s="93"/>
      <c r="M750" s="93"/>
    </row>
    <row r="751" spans="2:13" x14ac:dyDescent="0.35">
      <c r="B751" s="93">
        <v>143</v>
      </c>
      <c r="C751" s="64" t="s">
        <v>222</v>
      </c>
      <c r="D751" s="64" t="s">
        <v>112</v>
      </c>
      <c r="E751" s="73" t="s">
        <v>514</v>
      </c>
      <c r="F751" s="74">
        <v>24.361163254747598</v>
      </c>
      <c r="G751" s="73" t="s">
        <v>515</v>
      </c>
      <c r="H751" s="74">
        <v>24.437407</v>
      </c>
      <c r="I751" s="75">
        <v>9.1999999999999993</v>
      </c>
      <c r="J751" s="93" t="s">
        <v>115</v>
      </c>
      <c r="K751" s="93" t="s">
        <v>373</v>
      </c>
      <c r="L751" s="93">
        <v>30</v>
      </c>
      <c r="M751" s="93">
        <f>48-L751</f>
        <v>18</v>
      </c>
    </row>
    <row r="752" spans="2:13" x14ac:dyDescent="0.35">
      <c r="B752" s="93"/>
      <c r="C752" s="64" t="s">
        <v>228</v>
      </c>
      <c r="D752" s="64"/>
      <c r="E752" s="75"/>
      <c r="F752" s="74">
        <v>89.660238445771995</v>
      </c>
      <c r="G752" s="75"/>
      <c r="H752" s="74">
        <v>89.699909000000005</v>
      </c>
      <c r="I752" s="75"/>
      <c r="J752" s="93"/>
      <c r="K752" s="93"/>
      <c r="L752" s="93"/>
      <c r="M752" s="93"/>
    </row>
    <row r="753" spans="2:13" x14ac:dyDescent="0.35">
      <c r="B753" s="93"/>
      <c r="C753" s="64" t="s">
        <v>229</v>
      </c>
      <c r="D753" s="64"/>
      <c r="E753" s="75"/>
      <c r="F753" s="75"/>
      <c r="G753" s="75"/>
      <c r="H753" s="75"/>
      <c r="I753" s="75"/>
      <c r="J753" s="93"/>
      <c r="K753" s="93"/>
      <c r="L753" s="93"/>
      <c r="M753" s="93"/>
    </row>
    <row r="754" spans="2:13" x14ac:dyDescent="0.35">
      <c r="B754" s="93">
        <v>144</v>
      </c>
      <c r="C754" s="64" t="s">
        <v>222</v>
      </c>
      <c r="D754" s="64" t="s">
        <v>112</v>
      </c>
      <c r="E754" s="73" t="s">
        <v>515</v>
      </c>
      <c r="F754" s="74">
        <v>24.437407</v>
      </c>
      <c r="G754" s="73" t="s">
        <v>516</v>
      </c>
      <c r="H754" s="74">
        <v>24.448435</v>
      </c>
      <c r="I754" s="75">
        <v>1.9</v>
      </c>
      <c r="J754" s="93" t="s">
        <v>115</v>
      </c>
      <c r="K754" s="93" t="s">
        <v>373</v>
      </c>
      <c r="L754" s="93">
        <v>30</v>
      </c>
      <c r="M754" s="93">
        <f>48-L754</f>
        <v>18</v>
      </c>
    </row>
    <row r="755" spans="2:13" x14ac:dyDescent="0.35">
      <c r="B755" s="93"/>
      <c r="C755" s="64" t="s">
        <v>228</v>
      </c>
      <c r="D755" s="64"/>
      <c r="E755" s="75"/>
      <c r="F755" s="74">
        <v>89.699909000000005</v>
      </c>
      <c r="G755" s="75"/>
      <c r="H755" s="74">
        <v>89.705513999999994</v>
      </c>
      <c r="I755" s="75"/>
      <c r="J755" s="93"/>
      <c r="K755" s="93"/>
      <c r="L755" s="93"/>
      <c r="M755" s="93"/>
    </row>
    <row r="756" spans="2:13" x14ac:dyDescent="0.35">
      <c r="B756" s="93"/>
      <c r="C756" s="64" t="s">
        <v>229</v>
      </c>
      <c r="D756" s="64"/>
      <c r="E756" s="75"/>
      <c r="F756" s="75"/>
      <c r="G756" s="75"/>
      <c r="H756" s="77"/>
      <c r="I756" s="75"/>
      <c r="J756" s="93"/>
      <c r="K756" s="93"/>
      <c r="L756" s="93"/>
      <c r="M756" s="93"/>
    </row>
    <row r="757" spans="2:13" x14ac:dyDescent="0.35">
      <c r="B757" s="93">
        <v>145</v>
      </c>
      <c r="C757" s="64" t="s">
        <v>222</v>
      </c>
      <c r="D757" s="64" t="s">
        <v>112</v>
      </c>
      <c r="E757" s="73" t="s">
        <v>514</v>
      </c>
      <c r="F757" s="74">
        <v>24.361163254747598</v>
      </c>
      <c r="G757" s="73" t="s">
        <v>517</v>
      </c>
      <c r="H757" s="74">
        <v>24.397295656346</v>
      </c>
      <c r="I757" s="75">
        <v>6.5</v>
      </c>
      <c r="J757" s="93" t="s">
        <v>115</v>
      </c>
      <c r="K757" s="93" t="s">
        <v>373</v>
      </c>
      <c r="L757" s="93">
        <v>30</v>
      </c>
      <c r="M757" s="93">
        <f>48-L757</f>
        <v>18</v>
      </c>
    </row>
    <row r="758" spans="2:13" x14ac:dyDescent="0.35">
      <c r="B758" s="93"/>
      <c r="C758" s="64" t="s">
        <v>228</v>
      </c>
      <c r="D758" s="64"/>
      <c r="E758" s="75"/>
      <c r="F758" s="74">
        <v>89.660238445771995</v>
      </c>
      <c r="G758" s="75"/>
      <c r="H758" s="74">
        <v>89.690104533659806</v>
      </c>
      <c r="I758" s="75"/>
      <c r="J758" s="93"/>
      <c r="K758" s="93"/>
      <c r="L758" s="93"/>
      <c r="M758" s="93"/>
    </row>
    <row r="759" spans="2:13" x14ac:dyDescent="0.35">
      <c r="B759" s="93"/>
      <c r="C759" s="64" t="s">
        <v>229</v>
      </c>
      <c r="D759" s="64"/>
      <c r="E759" s="75"/>
      <c r="F759" s="75"/>
      <c r="G759" s="75"/>
      <c r="H759" s="75"/>
      <c r="I759" s="75"/>
      <c r="J759" s="93"/>
      <c r="K759" s="93"/>
      <c r="L759" s="93"/>
      <c r="M759" s="93"/>
    </row>
    <row r="760" spans="2:13" x14ac:dyDescent="0.35">
      <c r="B760" s="93">
        <v>146</v>
      </c>
      <c r="C760" s="64" t="s">
        <v>222</v>
      </c>
      <c r="D760" s="64" t="s">
        <v>112</v>
      </c>
      <c r="E760" s="73" t="s">
        <v>517</v>
      </c>
      <c r="F760" s="74">
        <v>24.397295656346</v>
      </c>
      <c r="G760" s="73" t="s">
        <v>518</v>
      </c>
      <c r="H760" s="74">
        <v>24.389469999999999</v>
      </c>
      <c r="I760" s="75">
        <v>4.41</v>
      </c>
      <c r="J760" s="93" t="s">
        <v>115</v>
      </c>
      <c r="K760" s="93" t="s">
        <v>519</v>
      </c>
      <c r="L760" s="93">
        <v>8</v>
      </c>
      <c r="M760" s="93">
        <f>8-L760</f>
        <v>0</v>
      </c>
    </row>
    <row r="761" spans="2:13" x14ac:dyDescent="0.35">
      <c r="B761" s="93"/>
      <c r="C761" s="64" t="s">
        <v>228</v>
      </c>
      <c r="D761" s="64"/>
      <c r="E761" s="75"/>
      <c r="F761" s="74">
        <v>89.690104533659806</v>
      </c>
      <c r="G761" s="75"/>
      <c r="H761" s="74">
        <v>89.819830999999994</v>
      </c>
      <c r="I761" s="75"/>
      <c r="J761" s="93"/>
      <c r="K761" s="93"/>
      <c r="L761" s="93"/>
      <c r="M761" s="93"/>
    </row>
    <row r="762" spans="2:13" x14ac:dyDescent="0.35">
      <c r="B762" s="93"/>
      <c r="C762" s="64" t="s">
        <v>229</v>
      </c>
      <c r="D762" s="64"/>
      <c r="E762" s="75"/>
      <c r="F762" s="75"/>
      <c r="G762" s="75"/>
      <c r="H762" s="75"/>
      <c r="I762" s="75"/>
      <c r="J762" s="93"/>
      <c r="K762" s="93"/>
      <c r="L762" s="93"/>
      <c r="M762" s="93"/>
    </row>
    <row r="763" spans="2:13" x14ac:dyDescent="0.35">
      <c r="B763" s="93">
        <v>147</v>
      </c>
      <c r="C763" s="64" t="s">
        <v>222</v>
      </c>
      <c r="D763" s="64" t="s">
        <v>112</v>
      </c>
      <c r="E763" s="73" t="s">
        <v>518</v>
      </c>
      <c r="F763" s="74">
        <v>24.389469999999999</v>
      </c>
      <c r="G763" s="73" t="s">
        <v>149</v>
      </c>
      <c r="H763" s="74">
        <v>24.389469999999999</v>
      </c>
      <c r="I763" s="75">
        <v>9.19</v>
      </c>
      <c r="J763" s="93" t="s">
        <v>115</v>
      </c>
      <c r="K763" s="93" t="s">
        <v>519</v>
      </c>
      <c r="L763" s="93">
        <v>8</v>
      </c>
      <c r="M763" s="93">
        <f>8-L763</f>
        <v>0</v>
      </c>
    </row>
    <row r="764" spans="2:13" x14ac:dyDescent="0.35">
      <c r="B764" s="93"/>
      <c r="C764" s="64" t="s">
        <v>228</v>
      </c>
      <c r="D764" s="64"/>
      <c r="E764" s="75"/>
      <c r="F764" s="74">
        <v>89.819830999999994</v>
      </c>
      <c r="G764" s="75"/>
      <c r="H764" s="74">
        <v>89.819830999999994</v>
      </c>
      <c r="I764" s="75"/>
      <c r="J764" s="93"/>
      <c r="K764" s="93"/>
      <c r="L764" s="93"/>
      <c r="M764" s="93"/>
    </row>
    <row r="765" spans="2:13" x14ac:dyDescent="0.35">
      <c r="B765" s="93"/>
      <c r="C765" s="64" t="s">
        <v>229</v>
      </c>
      <c r="D765" s="64"/>
      <c r="E765" s="75"/>
      <c r="F765" s="75"/>
      <c r="G765" s="75"/>
      <c r="H765" s="75"/>
      <c r="I765" s="75"/>
      <c r="J765" s="93"/>
      <c r="K765" s="93"/>
      <c r="L765" s="93"/>
      <c r="M765" s="93"/>
    </row>
    <row r="766" spans="2:13" x14ac:dyDescent="0.35">
      <c r="B766" s="93">
        <v>148</v>
      </c>
      <c r="C766" s="64" t="s">
        <v>222</v>
      </c>
      <c r="D766" s="64" t="s">
        <v>112</v>
      </c>
      <c r="E766" s="73" t="s">
        <v>149</v>
      </c>
      <c r="F766" s="74">
        <v>24.389469999999999</v>
      </c>
      <c r="G766" s="73" t="s">
        <v>520</v>
      </c>
      <c r="H766" s="74">
        <v>24.273771</v>
      </c>
      <c r="I766" s="75">
        <v>20.9</v>
      </c>
      <c r="J766" s="93" t="s">
        <v>115</v>
      </c>
      <c r="K766" s="93" t="s">
        <v>519</v>
      </c>
      <c r="L766" s="93">
        <v>8</v>
      </c>
      <c r="M766" s="93">
        <f>8-L766</f>
        <v>0</v>
      </c>
    </row>
    <row r="767" spans="2:13" x14ac:dyDescent="0.35">
      <c r="B767" s="93"/>
      <c r="C767" s="64" t="s">
        <v>228</v>
      </c>
      <c r="D767" s="64"/>
      <c r="E767" s="75"/>
      <c r="F767" s="74">
        <v>89.819830999999994</v>
      </c>
      <c r="G767" s="75"/>
      <c r="H767" s="74">
        <v>89.937438999999998</v>
      </c>
      <c r="I767" s="75"/>
      <c r="J767" s="93"/>
      <c r="K767" s="93"/>
      <c r="L767" s="93"/>
      <c r="M767" s="93"/>
    </row>
    <row r="768" spans="2:13" x14ac:dyDescent="0.35">
      <c r="B768" s="93"/>
      <c r="C768" s="64" t="s">
        <v>229</v>
      </c>
      <c r="D768" s="64"/>
      <c r="E768" s="75"/>
      <c r="F768" s="75"/>
      <c r="G768" s="75"/>
      <c r="H768" s="75"/>
      <c r="I768" s="75"/>
      <c r="J768" s="93"/>
      <c r="K768" s="93"/>
      <c r="L768" s="93"/>
      <c r="M768" s="93"/>
    </row>
    <row r="769" spans="2:13" x14ac:dyDescent="0.35">
      <c r="B769" s="93">
        <v>149</v>
      </c>
      <c r="C769" s="64" t="s">
        <v>222</v>
      </c>
      <c r="D769" s="64" t="s">
        <v>112</v>
      </c>
      <c r="E769" s="73" t="s">
        <v>520</v>
      </c>
      <c r="F769" s="74">
        <v>24.273771</v>
      </c>
      <c r="G769" s="73" t="s">
        <v>521</v>
      </c>
      <c r="H769" s="74">
        <v>24.168289999999999</v>
      </c>
      <c r="I769" s="75">
        <v>15.74</v>
      </c>
      <c r="J769" s="93" t="s">
        <v>115</v>
      </c>
      <c r="K769" s="93" t="s">
        <v>519</v>
      </c>
      <c r="L769" s="93">
        <v>8</v>
      </c>
      <c r="M769" s="93">
        <f>8-L769</f>
        <v>0</v>
      </c>
    </row>
    <row r="770" spans="2:13" x14ac:dyDescent="0.35">
      <c r="B770" s="93"/>
      <c r="C770" s="64" t="s">
        <v>228</v>
      </c>
      <c r="D770" s="64"/>
      <c r="E770" s="75"/>
      <c r="F770" s="74">
        <v>89.937438999999998</v>
      </c>
      <c r="G770" s="75"/>
      <c r="H770" s="74">
        <v>90.031392999999994</v>
      </c>
      <c r="I770" s="75"/>
      <c r="J770" s="93"/>
      <c r="K770" s="93"/>
      <c r="L770" s="93"/>
      <c r="M770" s="93"/>
    </row>
    <row r="771" spans="2:13" x14ac:dyDescent="0.35">
      <c r="B771" s="93"/>
      <c r="C771" s="64" t="s">
        <v>229</v>
      </c>
      <c r="D771" s="64"/>
      <c r="E771" s="75"/>
      <c r="F771" s="75"/>
      <c r="G771" s="75"/>
      <c r="H771" s="75"/>
      <c r="I771" s="75"/>
      <c r="J771" s="93"/>
      <c r="K771" s="93"/>
      <c r="L771" s="93"/>
      <c r="M771" s="93"/>
    </row>
    <row r="772" spans="2:13" x14ac:dyDescent="0.35">
      <c r="B772" s="93">
        <v>150</v>
      </c>
      <c r="C772" s="64" t="s">
        <v>222</v>
      </c>
      <c r="D772" s="64" t="s">
        <v>112</v>
      </c>
      <c r="E772" s="73" t="s">
        <v>521</v>
      </c>
      <c r="F772" s="74">
        <v>24.168289999999999</v>
      </c>
      <c r="G772" s="73" t="s">
        <v>522</v>
      </c>
      <c r="H772" s="74">
        <v>24.105447125562499</v>
      </c>
      <c r="I772" s="75">
        <v>10.16</v>
      </c>
      <c r="J772" s="93" t="s">
        <v>115</v>
      </c>
      <c r="K772" s="93" t="s">
        <v>519</v>
      </c>
      <c r="L772" s="93">
        <v>8</v>
      </c>
      <c r="M772" s="93">
        <f>8-L772</f>
        <v>0</v>
      </c>
    </row>
    <row r="773" spans="2:13" x14ac:dyDescent="0.35">
      <c r="B773" s="93"/>
      <c r="C773" s="64" t="s">
        <v>228</v>
      </c>
      <c r="D773" s="64"/>
      <c r="E773" s="75"/>
      <c r="F773" s="74">
        <v>90.031392999999994</v>
      </c>
      <c r="G773" s="75"/>
      <c r="H773" s="74">
        <v>90.1016500655127</v>
      </c>
      <c r="I773" s="75"/>
      <c r="J773" s="93"/>
      <c r="K773" s="93"/>
      <c r="L773" s="93"/>
      <c r="M773" s="93"/>
    </row>
    <row r="774" spans="2:13" x14ac:dyDescent="0.35">
      <c r="B774" s="93"/>
      <c r="C774" s="64" t="s">
        <v>229</v>
      </c>
      <c r="D774" s="64"/>
      <c r="E774" s="75"/>
      <c r="F774" s="75"/>
      <c r="G774" s="75"/>
      <c r="H774" s="75"/>
      <c r="I774" s="75"/>
      <c r="J774" s="93"/>
      <c r="K774" s="93"/>
      <c r="L774" s="93"/>
      <c r="M774" s="93"/>
    </row>
    <row r="775" spans="2:13" x14ac:dyDescent="0.35">
      <c r="B775" s="93">
        <v>151</v>
      </c>
      <c r="C775" s="64" t="s">
        <v>222</v>
      </c>
      <c r="D775" s="64" t="s">
        <v>112</v>
      </c>
      <c r="E775" s="73" t="s">
        <v>522</v>
      </c>
      <c r="F775" s="74">
        <v>24.105447125562499</v>
      </c>
      <c r="G775" s="73" t="s">
        <v>523</v>
      </c>
      <c r="H775" s="74">
        <v>24.062688193854999</v>
      </c>
      <c r="I775" s="75">
        <v>13.54</v>
      </c>
      <c r="J775" s="93" t="s">
        <v>115</v>
      </c>
      <c r="K775" s="93" t="s">
        <v>519</v>
      </c>
      <c r="L775" s="93">
        <v>8</v>
      </c>
      <c r="M775" s="93">
        <f>8-L775</f>
        <v>0</v>
      </c>
    </row>
    <row r="776" spans="2:13" x14ac:dyDescent="0.35">
      <c r="B776" s="93"/>
      <c r="C776" s="64" t="s">
        <v>228</v>
      </c>
      <c r="D776" s="64"/>
      <c r="E776" s="75"/>
      <c r="F776" s="74">
        <v>90.1016500655127</v>
      </c>
      <c r="G776" s="75"/>
      <c r="H776" s="74">
        <v>90.220219115225106</v>
      </c>
      <c r="I776" s="75"/>
      <c r="J776" s="93"/>
      <c r="K776" s="93"/>
      <c r="L776" s="93"/>
      <c r="M776" s="93"/>
    </row>
    <row r="777" spans="2:13" x14ac:dyDescent="0.35">
      <c r="B777" s="93"/>
      <c r="C777" s="64" t="s">
        <v>229</v>
      </c>
      <c r="D777" s="64"/>
      <c r="E777" s="75"/>
      <c r="F777" s="75"/>
      <c r="G777" s="75"/>
      <c r="H777" s="77"/>
      <c r="I777" s="75"/>
      <c r="J777" s="93"/>
      <c r="K777" s="93"/>
      <c r="L777" s="93"/>
      <c r="M777" s="93"/>
    </row>
    <row r="778" spans="2:13" x14ac:dyDescent="0.35">
      <c r="B778" s="93">
        <v>152</v>
      </c>
      <c r="C778" s="64" t="s">
        <v>222</v>
      </c>
      <c r="D778" s="64" t="s">
        <v>112</v>
      </c>
      <c r="E778" s="73" t="s">
        <v>523</v>
      </c>
      <c r="F778" s="74">
        <v>24.062688193854999</v>
      </c>
      <c r="G778" s="73" t="s">
        <v>524</v>
      </c>
      <c r="H778" s="74">
        <v>24.038719</v>
      </c>
      <c r="I778" s="75">
        <v>7.26</v>
      </c>
      <c r="J778" s="93" t="s">
        <v>115</v>
      </c>
      <c r="K778" s="93" t="s">
        <v>519</v>
      </c>
      <c r="L778" s="93">
        <v>8</v>
      </c>
      <c r="M778" s="93">
        <f>8-L778</f>
        <v>0</v>
      </c>
    </row>
    <row r="779" spans="2:13" x14ac:dyDescent="0.35">
      <c r="B779" s="93"/>
      <c r="C779" s="64" t="s">
        <v>228</v>
      </c>
      <c r="D779" s="64"/>
      <c r="E779" s="75"/>
      <c r="F779" s="74">
        <v>90.220219115225106</v>
      </c>
      <c r="G779" s="75"/>
      <c r="H779" s="74">
        <v>90.282319000000001</v>
      </c>
      <c r="I779" s="75"/>
      <c r="J779" s="93"/>
      <c r="K779" s="93"/>
      <c r="L779" s="93"/>
      <c r="M779" s="93"/>
    </row>
    <row r="780" spans="2:13" x14ac:dyDescent="0.35">
      <c r="B780" s="93"/>
      <c r="C780" s="64" t="s">
        <v>229</v>
      </c>
      <c r="D780" s="64"/>
      <c r="E780" s="75"/>
      <c r="F780" s="75"/>
      <c r="G780" s="75"/>
      <c r="H780" s="77"/>
      <c r="I780" s="75"/>
      <c r="J780" s="93"/>
      <c r="K780" s="93"/>
      <c r="L780" s="93"/>
      <c r="M780" s="93"/>
    </row>
    <row r="781" spans="2:13" x14ac:dyDescent="0.35">
      <c r="B781" s="93">
        <v>153</v>
      </c>
      <c r="C781" s="64" t="s">
        <v>222</v>
      </c>
      <c r="D781" s="64" t="s">
        <v>112</v>
      </c>
      <c r="E781" s="73" t="s">
        <v>524</v>
      </c>
      <c r="F781" s="74">
        <v>24.038719</v>
      </c>
      <c r="G781" s="65" t="s">
        <v>525</v>
      </c>
      <c r="H781" s="78">
        <v>23.9980101102005</v>
      </c>
      <c r="I781" s="75">
        <v>16</v>
      </c>
      <c r="J781" s="93" t="s">
        <v>115</v>
      </c>
      <c r="K781" s="93" t="s">
        <v>519</v>
      </c>
      <c r="L781" s="93">
        <v>8</v>
      </c>
      <c r="M781" s="93">
        <f>8-L781</f>
        <v>0</v>
      </c>
    </row>
    <row r="782" spans="2:13" x14ac:dyDescent="0.35">
      <c r="B782" s="93"/>
      <c r="C782" s="64" t="s">
        <v>228</v>
      </c>
      <c r="D782" s="64"/>
      <c r="E782" s="75"/>
      <c r="F782" s="74">
        <v>90.282319000000001</v>
      </c>
      <c r="G782" s="75"/>
      <c r="H782" s="78">
        <v>90.420223216599396</v>
      </c>
      <c r="I782" s="75"/>
      <c r="J782" s="93"/>
      <c r="K782" s="93"/>
      <c r="L782" s="93"/>
      <c r="M782" s="93"/>
    </row>
    <row r="783" spans="2:13" x14ac:dyDescent="0.35">
      <c r="B783" s="93"/>
      <c r="C783" s="64" t="s">
        <v>229</v>
      </c>
      <c r="D783" s="64"/>
      <c r="E783" s="75"/>
      <c r="F783" s="75"/>
      <c r="G783" s="75"/>
      <c r="H783" s="79"/>
      <c r="I783" s="75"/>
      <c r="J783" s="93"/>
      <c r="K783" s="93"/>
      <c r="L783" s="93"/>
      <c r="M783" s="93"/>
    </row>
    <row r="784" spans="2:13" x14ac:dyDescent="0.35"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</row>
    <row r="785" spans="2:13" x14ac:dyDescent="0.35"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</row>
    <row r="786" spans="2:13" x14ac:dyDescent="0.35"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</row>
    <row r="787" spans="2:13" x14ac:dyDescent="0.35"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</row>
    <row r="788" spans="2:13" x14ac:dyDescent="0.35"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</row>
    <row r="789" spans="2:13" x14ac:dyDescent="0.35"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</row>
    <row r="790" spans="2:13" ht="23" x14ac:dyDescent="0.35">
      <c r="B790" s="94" t="s">
        <v>209</v>
      </c>
      <c r="C790" s="94" t="s">
        <v>210</v>
      </c>
      <c r="D790" s="72" t="s">
        <v>211</v>
      </c>
      <c r="E790" s="72" t="s">
        <v>212</v>
      </c>
      <c r="F790" s="72" t="s">
        <v>213</v>
      </c>
      <c r="G790" s="72" t="s">
        <v>212</v>
      </c>
      <c r="H790" s="72" t="s">
        <v>213</v>
      </c>
      <c r="I790" s="94" t="s">
        <v>214</v>
      </c>
      <c r="J790" s="94" t="s">
        <v>215</v>
      </c>
      <c r="K790" s="94" t="s">
        <v>216</v>
      </c>
      <c r="L790" s="72" t="s">
        <v>217</v>
      </c>
      <c r="M790" s="72" t="s">
        <v>218</v>
      </c>
    </row>
    <row r="791" spans="2:13" x14ac:dyDescent="0.35">
      <c r="B791" s="94"/>
      <c r="C791" s="94"/>
      <c r="D791" s="72"/>
      <c r="E791" s="72" t="s">
        <v>219</v>
      </c>
      <c r="F791" s="72" t="s">
        <v>6</v>
      </c>
      <c r="G791" s="72" t="s">
        <v>220</v>
      </c>
      <c r="H791" s="72" t="s">
        <v>6</v>
      </c>
      <c r="I791" s="94"/>
      <c r="J791" s="94"/>
      <c r="K791" s="94"/>
      <c r="L791" s="72" t="s">
        <v>221</v>
      </c>
      <c r="M791" s="72" t="s">
        <v>221</v>
      </c>
    </row>
    <row r="792" spans="2:13" x14ac:dyDescent="0.35">
      <c r="B792" s="91">
        <v>1</v>
      </c>
      <c r="C792" s="64" t="s">
        <v>222</v>
      </c>
      <c r="D792" s="64" t="s">
        <v>112</v>
      </c>
      <c r="E792" s="64" t="s">
        <v>526</v>
      </c>
      <c r="F792" s="64" t="s">
        <v>527</v>
      </c>
      <c r="G792" s="64" t="s">
        <v>528</v>
      </c>
      <c r="H792" s="64" t="s">
        <v>529</v>
      </c>
      <c r="I792" s="91">
        <v>3.78</v>
      </c>
      <c r="J792" s="91" t="s">
        <v>115</v>
      </c>
      <c r="K792" s="91" t="s">
        <v>373</v>
      </c>
      <c r="L792" s="91">
        <v>29</v>
      </c>
      <c r="M792" s="91">
        <v>19</v>
      </c>
    </row>
    <row r="793" spans="2:13" x14ac:dyDescent="0.35">
      <c r="B793" s="91"/>
      <c r="C793" s="64" t="s">
        <v>228</v>
      </c>
      <c r="D793" s="64"/>
      <c r="E793" s="64"/>
      <c r="F793" s="64">
        <v>89.444000000000003</v>
      </c>
      <c r="G793" s="64"/>
      <c r="H793" s="64">
        <v>89.445999999999998</v>
      </c>
      <c r="I793" s="91"/>
      <c r="J793" s="91"/>
      <c r="K793" s="91"/>
      <c r="L793" s="91"/>
      <c r="M793" s="91"/>
    </row>
    <row r="794" spans="2:13" x14ac:dyDescent="0.35">
      <c r="B794" s="91"/>
      <c r="C794" s="64" t="s">
        <v>229</v>
      </c>
      <c r="D794" s="64"/>
      <c r="E794" s="64"/>
      <c r="F794" s="77"/>
      <c r="G794" s="64"/>
      <c r="H794" s="77"/>
      <c r="I794" s="91"/>
      <c r="J794" s="91"/>
      <c r="K794" s="91"/>
      <c r="L794" s="91"/>
      <c r="M794" s="91"/>
    </row>
    <row r="795" spans="2:13" x14ac:dyDescent="0.35">
      <c r="B795" s="91">
        <v>2</v>
      </c>
      <c r="C795" s="64" t="s">
        <v>222</v>
      </c>
      <c r="D795" s="64" t="s">
        <v>112</v>
      </c>
      <c r="E795" s="64" t="s">
        <v>528</v>
      </c>
      <c r="F795" s="64" t="s">
        <v>529</v>
      </c>
      <c r="G795" s="64" t="s">
        <v>530</v>
      </c>
      <c r="H795" s="64" t="s">
        <v>531</v>
      </c>
      <c r="I795" s="91">
        <v>8</v>
      </c>
      <c r="J795" s="91" t="s">
        <v>115</v>
      </c>
      <c r="K795" s="91" t="s">
        <v>373</v>
      </c>
      <c r="L795" s="91">
        <v>29</v>
      </c>
      <c r="M795" s="91">
        <v>19</v>
      </c>
    </row>
    <row r="796" spans="2:13" x14ac:dyDescent="0.35">
      <c r="B796" s="91"/>
      <c r="C796" s="64" t="s">
        <v>228</v>
      </c>
      <c r="D796" s="64"/>
      <c r="E796" s="64"/>
      <c r="F796" s="64">
        <v>89.445999999999998</v>
      </c>
      <c r="G796" s="64"/>
      <c r="H796" s="64">
        <v>89.44</v>
      </c>
      <c r="I796" s="91"/>
      <c r="J796" s="91"/>
      <c r="K796" s="91"/>
      <c r="L796" s="91"/>
      <c r="M796" s="91"/>
    </row>
    <row r="797" spans="2:13" x14ac:dyDescent="0.35">
      <c r="B797" s="91"/>
      <c r="C797" s="64" t="s">
        <v>229</v>
      </c>
      <c r="D797" s="64"/>
      <c r="E797" s="64"/>
      <c r="F797" s="77"/>
      <c r="G797" s="64"/>
      <c r="H797" s="77"/>
      <c r="I797" s="91"/>
      <c r="J797" s="91"/>
      <c r="K797" s="91"/>
      <c r="L797" s="91"/>
      <c r="M797" s="91"/>
    </row>
    <row r="798" spans="2:13" x14ac:dyDescent="0.35">
      <c r="B798" s="91">
        <v>3</v>
      </c>
      <c r="C798" s="64" t="s">
        <v>222</v>
      </c>
      <c r="D798" s="64" t="s">
        <v>112</v>
      </c>
      <c r="E798" s="64" t="s">
        <v>530</v>
      </c>
      <c r="F798" s="64" t="s">
        <v>531</v>
      </c>
      <c r="G798" s="64" t="s">
        <v>532</v>
      </c>
      <c r="H798" s="64" t="s">
        <v>533</v>
      </c>
      <c r="I798" s="91">
        <v>3.97</v>
      </c>
      <c r="J798" s="91" t="s">
        <v>115</v>
      </c>
      <c r="K798" s="91" t="s">
        <v>373</v>
      </c>
      <c r="L798" s="91">
        <v>29</v>
      </c>
      <c r="M798" s="91">
        <v>19</v>
      </c>
    </row>
    <row r="799" spans="2:13" x14ac:dyDescent="0.35">
      <c r="B799" s="91"/>
      <c r="C799" s="64" t="s">
        <v>228</v>
      </c>
      <c r="D799" s="64"/>
      <c r="E799" s="64"/>
      <c r="F799" s="64">
        <v>89.44</v>
      </c>
      <c r="G799" s="64"/>
      <c r="H799" s="64">
        <v>89.423000000000002</v>
      </c>
      <c r="I799" s="91"/>
      <c r="J799" s="91"/>
      <c r="K799" s="91"/>
      <c r="L799" s="91"/>
      <c r="M799" s="91"/>
    </row>
    <row r="800" spans="2:13" x14ac:dyDescent="0.35">
      <c r="B800" s="91"/>
      <c r="C800" s="64" t="s">
        <v>229</v>
      </c>
      <c r="D800" s="64"/>
      <c r="E800" s="64"/>
      <c r="F800" s="77"/>
      <c r="G800" s="64"/>
      <c r="H800" s="77"/>
      <c r="I800" s="91"/>
      <c r="J800" s="91"/>
      <c r="K800" s="91"/>
      <c r="L800" s="91"/>
      <c r="M800" s="91"/>
    </row>
    <row r="801" spans="2:13" x14ac:dyDescent="0.35">
      <c r="B801" s="91">
        <v>4</v>
      </c>
      <c r="C801" s="64" t="s">
        <v>222</v>
      </c>
      <c r="D801" s="64" t="s">
        <v>112</v>
      </c>
      <c r="E801" s="64" t="s">
        <v>532</v>
      </c>
      <c r="F801" s="64" t="s">
        <v>533</v>
      </c>
      <c r="G801" s="64" t="s">
        <v>534</v>
      </c>
      <c r="H801" s="64" t="s">
        <v>535</v>
      </c>
      <c r="I801" s="91">
        <v>10.56</v>
      </c>
      <c r="J801" s="91" t="s">
        <v>115</v>
      </c>
      <c r="K801" s="91" t="s">
        <v>373</v>
      </c>
      <c r="L801" s="91">
        <v>31</v>
      </c>
      <c r="M801" s="91">
        <v>17</v>
      </c>
    </row>
    <row r="802" spans="2:13" x14ac:dyDescent="0.35">
      <c r="B802" s="91"/>
      <c r="C802" s="64" t="s">
        <v>228</v>
      </c>
      <c r="D802" s="64"/>
      <c r="E802" s="64"/>
      <c r="F802" s="64">
        <v>89.423000000000002</v>
      </c>
      <c r="G802" s="64"/>
      <c r="H802" s="64">
        <v>89.406000000000006</v>
      </c>
      <c r="I802" s="91"/>
      <c r="J802" s="91"/>
      <c r="K802" s="91"/>
      <c r="L802" s="91"/>
      <c r="M802" s="91"/>
    </row>
    <row r="803" spans="2:13" x14ac:dyDescent="0.35">
      <c r="B803" s="91"/>
      <c r="C803" s="64" t="s">
        <v>229</v>
      </c>
      <c r="D803" s="64"/>
      <c r="E803" s="64"/>
      <c r="F803" s="77"/>
      <c r="G803" s="64"/>
      <c r="H803" s="77"/>
      <c r="I803" s="91"/>
      <c r="J803" s="91"/>
      <c r="K803" s="91"/>
      <c r="L803" s="91"/>
      <c r="M803" s="91"/>
    </row>
    <row r="804" spans="2:13" x14ac:dyDescent="0.35">
      <c r="B804" s="91">
        <v>5</v>
      </c>
      <c r="C804" s="64" t="s">
        <v>222</v>
      </c>
      <c r="D804" s="64" t="s">
        <v>112</v>
      </c>
      <c r="E804" s="64" t="s">
        <v>534</v>
      </c>
      <c r="F804" s="64" t="s">
        <v>535</v>
      </c>
      <c r="G804" s="64" t="s">
        <v>536</v>
      </c>
      <c r="H804" s="64" t="s">
        <v>537</v>
      </c>
      <c r="I804" s="91">
        <v>13.9</v>
      </c>
      <c r="J804" s="91" t="s">
        <v>115</v>
      </c>
      <c r="K804" s="91" t="s">
        <v>373</v>
      </c>
      <c r="L804" s="91">
        <v>31</v>
      </c>
      <c r="M804" s="91">
        <v>17</v>
      </c>
    </row>
    <row r="805" spans="2:13" x14ac:dyDescent="0.35">
      <c r="B805" s="91"/>
      <c r="C805" s="64" t="s">
        <v>228</v>
      </c>
      <c r="D805" s="64"/>
      <c r="E805" s="64"/>
      <c r="F805" s="64">
        <v>89.406000000000006</v>
      </c>
      <c r="G805" s="64"/>
      <c r="H805" s="64">
        <v>89.444999999999993</v>
      </c>
      <c r="I805" s="91"/>
      <c r="J805" s="91"/>
      <c r="K805" s="91"/>
      <c r="L805" s="91"/>
      <c r="M805" s="91"/>
    </row>
    <row r="806" spans="2:13" x14ac:dyDescent="0.35">
      <c r="B806" s="91"/>
      <c r="C806" s="64" t="s">
        <v>229</v>
      </c>
      <c r="D806" s="64"/>
      <c r="E806" s="64"/>
      <c r="F806" s="77"/>
      <c r="G806" s="64"/>
      <c r="H806" s="77"/>
      <c r="I806" s="91"/>
      <c r="J806" s="91"/>
      <c r="K806" s="91"/>
      <c r="L806" s="91"/>
      <c r="M806" s="91"/>
    </row>
    <row r="807" spans="2:13" x14ac:dyDescent="0.35">
      <c r="B807" s="91">
        <v>6</v>
      </c>
      <c r="C807" s="64" t="s">
        <v>222</v>
      </c>
      <c r="D807" s="64" t="s">
        <v>112</v>
      </c>
      <c r="E807" s="64" t="s">
        <v>536</v>
      </c>
      <c r="F807" s="64" t="s">
        <v>537</v>
      </c>
      <c r="G807" s="64" t="s">
        <v>538</v>
      </c>
      <c r="H807" s="64" t="s">
        <v>539</v>
      </c>
      <c r="I807" s="91">
        <v>13.33</v>
      </c>
      <c r="J807" s="91" t="s">
        <v>115</v>
      </c>
      <c r="K807" s="91" t="s">
        <v>373</v>
      </c>
      <c r="L807" s="91">
        <v>31</v>
      </c>
      <c r="M807" s="91">
        <v>17</v>
      </c>
    </row>
    <row r="808" spans="2:13" x14ac:dyDescent="0.35">
      <c r="B808" s="91"/>
      <c r="C808" s="64" t="s">
        <v>228</v>
      </c>
      <c r="D808" s="64"/>
      <c r="E808" s="64"/>
      <c r="F808" s="64">
        <v>89.444999999999993</v>
      </c>
      <c r="G808" s="64"/>
      <c r="H808" s="64">
        <v>89.5</v>
      </c>
      <c r="I808" s="91"/>
      <c r="J808" s="91"/>
      <c r="K808" s="91"/>
      <c r="L808" s="91"/>
      <c r="M808" s="91"/>
    </row>
    <row r="809" spans="2:13" x14ac:dyDescent="0.35">
      <c r="B809" s="91"/>
      <c r="C809" s="64" t="s">
        <v>229</v>
      </c>
      <c r="D809" s="64"/>
      <c r="E809" s="64"/>
      <c r="F809" s="77"/>
      <c r="G809" s="64"/>
      <c r="H809" s="77"/>
      <c r="I809" s="91"/>
      <c r="J809" s="91"/>
      <c r="K809" s="91"/>
      <c r="L809" s="91"/>
      <c r="M809" s="91"/>
    </row>
    <row r="810" spans="2:13" x14ac:dyDescent="0.35">
      <c r="B810" s="91">
        <v>7</v>
      </c>
      <c r="C810" s="64" t="s">
        <v>222</v>
      </c>
      <c r="D810" s="64" t="s">
        <v>112</v>
      </c>
      <c r="E810" s="64" t="s">
        <v>538</v>
      </c>
      <c r="F810" s="64" t="s">
        <v>539</v>
      </c>
      <c r="G810" s="64" t="s">
        <v>540</v>
      </c>
      <c r="H810" s="64" t="s">
        <v>541</v>
      </c>
      <c r="I810" s="91">
        <v>12.28</v>
      </c>
      <c r="J810" s="91" t="s">
        <v>115</v>
      </c>
      <c r="K810" s="91" t="s">
        <v>373</v>
      </c>
      <c r="L810" s="91">
        <v>31</v>
      </c>
      <c r="M810" s="91">
        <v>17</v>
      </c>
    </row>
    <row r="811" spans="2:13" x14ac:dyDescent="0.35">
      <c r="B811" s="91"/>
      <c r="C811" s="64" t="s">
        <v>228</v>
      </c>
      <c r="D811" s="64"/>
      <c r="E811" s="64"/>
      <c r="F811" s="64">
        <v>89.5</v>
      </c>
      <c r="G811" s="64"/>
      <c r="H811" s="64">
        <v>89.542000000000002</v>
      </c>
      <c r="I811" s="91"/>
      <c r="J811" s="91"/>
      <c r="K811" s="91"/>
      <c r="L811" s="91"/>
      <c r="M811" s="91"/>
    </row>
    <row r="812" spans="2:13" x14ac:dyDescent="0.35">
      <c r="B812" s="91"/>
      <c r="C812" s="64" t="s">
        <v>229</v>
      </c>
      <c r="D812" s="64"/>
      <c r="E812" s="64"/>
      <c r="F812" s="77"/>
      <c r="G812" s="64"/>
      <c r="H812" s="77"/>
      <c r="I812" s="91"/>
      <c r="J812" s="91"/>
      <c r="K812" s="91"/>
      <c r="L812" s="91"/>
      <c r="M812" s="91"/>
    </row>
    <row r="813" spans="2:13" x14ac:dyDescent="0.35">
      <c r="B813" s="91">
        <v>8</v>
      </c>
      <c r="C813" s="64" t="s">
        <v>222</v>
      </c>
      <c r="D813" s="64" t="s">
        <v>112</v>
      </c>
      <c r="E813" s="64" t="s">
        <v>540</v>
      </c>
      <c r="F813" s="64" t="s">
        <v>541</v>
      </c>
      <c r="G813" s="64" t="s">
        <v>542</v>
      </c>
      <c r="H813" s="64" t="s">
        <v>543</v>
      </c>
      <c r="I813" s="91">
        <v>10.73</v>
      </c>
      <c r="J813" s="91" t="s">
        <v>115</v>
      </c>
      <c r="K813" s="91" t="s">
        <v>373</v>
      </c>
      <c r="L813" s="91">
        <v>31</v>
      </c>
      <c r="M813" s="91">
        <v>17</v>
      </c>
    </row>
    <row r="814" spans="2:13" x14ac:dyDescent="0.35">
      <c r="B814" s="91"/>
      <c r="C814" s="64" t="s">
        <v>228</v>
      </c>
      <c r="D814" s="64"/>
      <c r="E814" s="64"/>
      <c r="F814" s="64">
        <v>89.542000000000002</v>
      </c>
      <c r="G814" s="64"/>
      <c r="H814" s="64">
        <v>89.542000000000002</v>
      </c>
      <c r="I814" s="91"/>
      <c r="J814" s="91"/>
      <c r="K814" s="91"/>
      <c r="L814" s="91"/>
      <c r="M814" s="91"/>
    </row>
    <row r="815" spans="2:13" x14ac:dyDescent="0.35">
      <c r="B815" s="91"/>
      <c r="C815" s="64" t="s">
        <v>229</v>
      </c>
      <c r="D815" s="64"/>
      <c r="E815" s="64"/>
      <c r="F815" s="77"/>
      <c r="G815" s="64"/>
      <c r="H815" s="77"/>
      <c r="I815" s="91"/>
      <c r="J815" s="91"/>
      <c r="K815" s="91"/>
      <c r="L815" s="91"/>
      <c r="M815" s="91"/>
    </row>
    <row r="816" spans="2:13" x14ac:dyDescent="0.35">
      <c r="B816" s="91">
        <v>9</v>
      </c>
      <c r="C816" s="64" t="s">
        <v>222</v>
      </c>
      <c r="D816" s="64" t="s">
        <v>112</v>
      </c>
      <c r="E816" s="64" t="s">
        <v>542</v>
      </c>
      <c r="F816" s="64" t="s">
        <v>543</v>
      </c>
      <c r="G816" s="64" t="s">
        <v>544</v>
      </c>
      <c r="H816" s="64" t="s">
        <v>545</v>
      </c>
      <c r="I816" s="91">
        <v>6.93</v>
      </c>
      <c r="J816" s="91" t="s">
        <v>115</v>
      </c>
      <c r="K816" s="91" t="s">
        <v>373</v>
      </c>
      <c r="L816" s="91">
        <v>31</v>
      </c>
      <c r="M816" s="91">
        <v>17</v>
      </c>
    </row>
    <row r="817" spans="2:13" x14ac:dyDescent="0.35">
      <c r="B817" s="91"/>
      <c r="C817" s="64" t="s">
        <v>228</v>
      </c>
      <c r="D817" s="64"/>
      <c r="E817" s="64"/>
      <c r="F817" s="64">
        <v>89.542000000000002</v>
      </c>
      <c r="G817" s="64"/>
      <c r="H817" s="64">
        <v>89.522999999999996</v>
      </c>
      <c r="I817" s="91"/>
      <c r="J817" s="91"/>
      <c r="K817" s="91"/>
      <c r="L817" s="91"/>
      <c r="M817" s="91"/>
    </row>
    <row r="818" spans="2:13" x14ac:dyDescent="0.35">
      <c r="B818" s="91"/>
      <c r="C818" s="64" t="s">
        <v>229</v>
      </c>
      <c r="D818" s="64"/>
      <c r="E818" s="64"/>
      <c r="F818" s="77"/>
      <c r="G818" s="64"/>
      <c r="H818" s="77"/>
      <c r="I818" s="91"/>
      <c r="J818" s="91"/>
      <c r="K818" s="91"/>
      <c r="L818" s="91"/>
      <c r="M818" s="91"/>
    </row>
    <row r="819" spans="2:13" x14ac:dyDescent="0.35">
      <c r="B819" s="91">
        <v>10</v>
      </c>
      <c r="C819" s="64" t="s">
        <v>222</v>
      </c>
      <c r="D819" s="64" t="s">
        <v>112</v>
      </c>
      <c r="E819" s="77" t="s">
        <v>544</v>
      </c>
      <c r="F819" s="64" t="s">
        <v>545</v>
      </c>
      <c r="G819" s="64" t="s">
        <v>546</v>
      </c>
      <c r="H819" s="64" t="s">
        <v>547</v>
      </c>
      <c r="I819" s="91">
        <v>7.32</v>
      </c>
      <c r="J819" s="92" t="s">
        <v>115</v>
      </c>
      <c r="K819" s="91" t="s">
        <v>548</v>
      </c>
      <c r="L819" s="91">
        <v>27</v>
      </c>
      <c r="M819" s="91">
        <v>5</v>
      </c>
    </row>
    <row r="820" spans="2:13" x14ac:dyDescent="0.35">
      <c r="B820" s="91"/>
      <c r="C820" s="64" t="s">
        <v>228</v>
      </c>
      <c r="D820" s="64"/>
      <c r="E820" s="77"/>
      <c r="F820" s="77">
        <v>89.522999999999996</v>
      </c>
      <c r="G820" s="64"/>
      <c r="H820" s="64">
        <v>89.492999999999995</v>
      </c>
      <c r="I820" s="91"/>
      <c r="J820" s="92"/>
      <c r="K820" s="91"/>
      <c r="L820" s="91"/>
      <c r="M820" s="91"/>
    </row>
    <row r="821" spans="2:13" x14ac:dyDescent="0.35">
      <c r="B821" s="91"/>
      <c r="C821" s="64" t="s">
        <v>229</v>
      </c>
      <c r="D821" s="64"/>
      <c r="E821" s="77"/>
      <c r="F821" s="77"/>
      <c r="G821" s="64"/>
      <c r="H821" s="77"/>
      <c r="I821" s="91"/>
      <c r="J821" s="92"/>
      <c r="K821" s="91"/>
      <c r="L821" s="91"/>
      <c r="M821" s="91"/>
    </row>
    <row r="822" spans="2:13" x14ac:dyDescent="0.35">
      <c r="B822" s="91">
        <v>11</v>
      </c>
      <c r="C822" s="64" t="s">
        <v>222</v>
      </c>
      <c r="D822" s="64" t="s">
        <v>112</v>
      </c>
      <c r="E822" s="77" t="s">
        <v>546</v>
      </c>
      <c r="F822" s="64" t="s">
        <v>547</v>
      </c>
      <c r="G822" s="64" t="s">
        <v>549</v>
      </c>
      <c r="H822" s="64" t="s">
        <v>550</v>
      </c>
      <c r="I822" s="91">
        <v>7.16</v>
      </c>
      <c r="J822" s="92" t="s">
        <v>115</v>
      </c>
      <c r="K822" s="91" t="s">
        <v>548</v>
      </c>
      <c r="L822" s="91">
        <v>27</v>
      </c>
      <c r="M822" s="91">
        <v>5</v>
      </c>
    </row>
    <row r="823" spans="2:13" x14ac:dyDescent="0.35">
      <c r="B823" s="91"/>
      <c r="C823" s="64" t="s">
        <v>228</v>
      </c>
      <c r="D823" s="64"/>
      <c r="E823" s="77"/>
      <c r="F823" s="77">
        <v>89.492999999999995</v>
      </c>
      <c r="G823" s="64"/>
      <c r="H823" s="64">
        <v>89.497</v>
      </c>
      <c r="I823" s="91"/>
      <c r="J823" s="92"/>
      <c r="K823" s="91"/>
      <c r="L823" s="91"/>
      <c r="M823" s="91"/>
    </row>
    <row r="824" spans="2:13" x14ac:dyDescent="0.35">
      <c r="B824" s="91"/>
      <c r="C824" s="64" t="s">
        <v>229</v>
      </c>
      <c r="D824" s="64"/>
      <c r="E824" s="77"/>
      <c r="F824" s="77"/>
      <c r="G824" s="64"/>
      <c r="H824" s="77"/>
      <c r="I824" s="91"/>
      <c r="J824" s="92"/>
      <c r="K824" s="91"/>
      <c r="L824" s="91"/>
      <c r="M824" s="91"/>
    </row>
    <row r="825" spans="2:13" x14ac:dyDescent="0.35">
      <c r="B825" s="91">
        <v>12</v>
      </c>
      <c r="C825" s="64" t="s">
        <v>222</v>
      </c>
      <c r="D825" s="64" t="s">
        <v>112</v>
      </c>
      <c r="E825" s="64" t="s">
        <v>549</v>
      </c>
      <c r="F825" s="64" t="s">
        <v>550</v>
      </c>
      <c r="G825" s="64" t="s">
        <v>551</v>
      </c>
      <c r="H825" s="64" t="s">
        <v>552</v>
      </c>
      <c r="I825" s="91">
        <v>6.07</v>
      </c>
      <c r="J825" s="91" t="s">
        <v>115</v>
      </c>
      <c r="K825" s="91" t="s">
        <v>548</v>
      </c>
      <c r="L825" s="91">
        <v>27</v>
      </c>
      <c r="M825" s="91">
        <v>5</v>
      </c>
    </row>
    <row r="826" spans="2:13" x14ac:dyDescent="0.35">
      <c r="B826" s="91"/>
      <c r="C826" s="64" t="s">
        <v>228</v>
      </c>
      <c r="D826" s="64"/>
      <c r="E826" s="64"/>
      <c r="F826" s="64">
        <v>89.497</v>
      </c>
      <c r="G826" s="64"/>
      <c r="H826" s="64">
        <v>89.498999999999995</v>
      </c>
      <c r="I826" s="91"/>
      <c r="J826" s="91"/>
      <c r="K826" s="91"/>
      <c r="L826" s="91"/>
      <c r="M826" s="91"/>
    </row>
    <row r="827" spans="2:13" x14ac:dyDescent="0.35">
      <c r="B827" s="91"/>
      <c r="C827" s="64" t="s">
        <v>229</v>
      </c>
      <c r="D827" s="64"/>
      <c r="E827" s="64"/>
      <c r="F827" s="77"/>
      <c r="G827" s="64"/>
      <c r="H827" s="77"/>
      <c r="I827" s="91"/>
      <c r="J827" s="91"/>
      <c r="K827" s="91"/>
      <c r="L827" s="91"/>
      <c r="M827" s="91"/>
    </row>
    <row r="828" spans="2:13" x14ac:dyDescent="0.35">
      <c r="B828" s="91">
        <v>13</v>
      </c>
      <c r="C828" s="64" t="s">
        <v>222</v>
      </c>
      <c r="D828" s="64" t="s">
        <v>112</v>
      </c>
      <c r="E828" s="64" t="s">
        <v>551</v>
      </c>
      <c r="F828" s="64" t="s">
        <v>552</v>
      </c>
      <c r="G828" s="64" t="s">
        <v>553</v>
      </c>
      <c r="H828" s="64" t="s">
        <v>554</v>
      </c>
      <c r="I828" s="91">
        <v>6.94</v>
      </c>
      <c r="J828" s="91" t="s">
        <v>115</v>
      </c>
      <c r="K828" s="91" t="s">
        <v>548</v>
      </c>
      <c r="L828" s="91">
        <v>27</v>
      </c>
      <c r="M828" s="91">
        <v>5</v>
      </c>
    </row>
    <row r="829" spans="2:13" x14ac:dyDescent="0.35">
      <c r="B829" s="91"/>
      <c r="C829" s="64" t="s">
        <v>228</v>
      </c>
      <c r="D829" s="64"/>
      <c r="E829" s="64"/>
      <c r="F829" s="64">
        <v>89.498999999999995</v>
      </c>
      <c r="G829" s="64"/>
      <c r="H829" s="64">
        <v>89.480999999999995</v>
      </c>
      <c r="I829" s="91"/>
      <c r="J829" s="91"/>
      <c r="K829" s="91"/>
      <c r="L829" s="91"/>
      <c r="M829" s="91"/>
    </row>
    <row r="830" spans="2:13" x14ac:dyDescent="0.35">
      <c r="B830" s="91"/>
      <c r="C830" s="64" t="s">
        <v>229</v>
      </c>
      <c r="D830" s="64"/>
      <c r="E830" s="64"/>
      <c r="F830" s="77"/>
      <c r="G830" s="64"/>
      <c r="H830" s="77"/>
      <c r="I830" s="91"/>
      <c r="J830" s="91"/>
      <c r="K830" s="91"/>
      <c r="L830" s="91"/>
      <c r="M830" s="91"/>
    </row>
    <row r="831" spans="2:13" x14ac:dyDescent="0.35">
      <c r="B831" s="91">
        <v>14</v>
      </c>
      <c r="C831" s="64" t="s">
        <v>222</v>
      </c>
      <c r="D831" s="64" t="s">
        <v>112</v>
      </c>
      <c r="E831" s="64" t="s">
        <v>553</v>
      </c>
      <c r="F831" s="64" t="s">
        <v>554</v>
      </c>
      <c r="G831" s="64" t="s">
        <v>555</v>
      </c>
      <c r="H831" s="64" t="s">
        <v>556</v>
      </c>
      <c r="I831" s="91">
        <v>5.77</v>
      </c>
      <c r="J831" s="91" t="s">
        <v>115</v>
      </c>
      <c r="K831" s="91" t="s">
        <v>548</v>
      </c>
      <c r="L831" s="91">
        <v>27</v>
      </c>
      <c r="M831" s="91">
        <v>5</v>
      </c>
    </row>
    <row r="832" spans="2:13" x14ac:dyDescent="0.35">
      <c r="B832" s="91"/>
      <c r="C832" s="64" t="s">
        <v>228</v>
      </c>
      <c r="D832" s="64"/>
      <c r="E832" s="64"/>
      <c r="F832" s="64">
        <v>89.480999999999995</v>
      </c>
      <c r="G832" s="64"/>
      <c r="H832" s="64">
        <v>89.45</v>
      </c>
      <c r="I832" s="91"/>
      <c r="J832" s="91"/>
      <c r="K832" s="91"/>
      <c r="L832" s="91"/>
      <c r="M832" s="91"/>
    </row>
    <row r="833" spans="2:13" x14ac:dyDescent="0.35">
      <c r="B833" s="91"/>
      <c r="C833" s="64" t="s">
        <v>229</v>
      </c>
      <c r="D833" s="64"/>
      <c r="E833" s="64"/>
      <c r="F833" s="77"/>
      <c r="G833" s="64"/>
      <c r="H833" s="77"/>
      <c r="I833" s="91"/>
      <c r="J833" s="91"/>
      <c r="K833" s="91"/>
      <c r="L833" s="91"/>
      <c r="M833" s="91"/>
    </row>
    <row r="834" spans="2:13" x14ac:dyDescent="0.35">
      <c r="B834" s="91">
        <v>15</v>
      </c>
      <c r="C834" s="64" t="s">
        <v>222</v>
      </c>
      <c r="D834" s="64" t="s">
        <v>112</v>
      </c>
      <c r="E834" s="64" t="s">
        <v>555</v>
      </c>
      <c r="F834" s="64" t="s">
        <v>556</v>
      </c>
      <c r="G834" s="64" t="s">
        <v>557</v>
      </c>
      <c r="H834" s="64" t="s">
        <v>558</v>
      </c>
      <c r="I834" s="91">
        <v>9.36</v>
      </c>
      <c r="J834" s="91" t="s">
        <v>115</v>
      </c>
      <c r="K834" s="91" t="s">
        <v>548</v>
      </c>
      <c r="L834" s="91">
        <v>27</v>
      </c>
      <c r="M834" s="91">
        <v>5</v>
      </c>
    </row>
    <row r="835" spans="2:13" x14ac:dyDescent="0.35">
      <c r="B835" s="91"/>
      <c r="C835" s="64" t="s">
        <v>228</v>
      </c>
      <c r="D835" s="64"/>
      <c r="E835" s="64"/>
      <c r="F835" s="64">
        <v>89.45</v>
      </c>
      <c r="G835" s="64"/>
      <c r="H835" s="64">
        <v>89.367000000000004</v>
      </c>
      <c r="I835" s="91"/>
      <c r="J835" s="91"/>
      <c r="K835" s="91"/>
      <c r="L835" s="91"/>
      <c r="M835" s="91"/>
    </row>
    <row r="836" spans="2:13" x14ac:dyDescent="0.35">
      <c r="B836" s="91"/>
      <c r="C836" s="64" t="s">
        <v>229</v>
      </c>
      <c r="D836" s="64"/>
      <c r="E836" s="64"/>
      <c r="F836" s="77"/>
      <c r="G836" s="64"/>
      <c r="H836" s="77"/>
      <c r="I836" s="91"/>
      <c r="J836" s="91"/>
      <c r="K836" s="91"/>
      <c r="L836" s="91"/>
      <c r="M836" s="91"/>
    </row>
    <row r="837" spans="2:13" x14ac:dyDescent="0.35">
      <c r="B837" s="91">
        <v>16</v>
      </c>
      <c r="C837" s="64" t="s">
        <v>222</v>
      </c>
      <c r="D837" s="64" t="s">
        <v>112</v>
      </c>
      <c r="E837" s="64" t="s">
        <v>557</v>
      </c>
      <c r="F837" s="64" t="s">
        <v>559</v>
      </c>
      <c r="G837" s="64" t="s">
        <v>560</v>
      </c>
      <c r="H837" s="64" t="s">
        <v>561</v>
      </c>
      <c r="I837" s="91">
        <v>10.53</v>
      </c>
      <c r="J837" s="91" t="s">
        <v>115</v>
      </c>
      <c r="K837" s="91" t="s">
        <v>562</v>
      </c>
      <c r="L837" s="91">
        <v>27</v>
      </c>
      <c r="M837" s="91">
        <v>5</v>
      </c>
    </row>
    <row r="838" spans="2:13" x14ac:dyDescent="0.35">
      <c r="B838" s="91"/>
      <c r="C838" s="64" t="s">
        <v>228</v>
      </c>
      <c r="D838" s="64"/>
      <c r="E838" s="64"/>
      <c r="F838" s="64">
        <v>89.367000000000004</v>
      </c>
      <c r="G838" s="64"/>
      <c r="H838" s="64">
        <v>89.29</v>
      </c>
      <c r="I838" s="91"/>
      <c r="J838" s="91"/>
      <c r="K838" s="91"/>
      <c r="L838" s="91"/>
      <c r="M838" s="91"/>
    </row>
    <row r="839" spans="2:13" x14ac:dyDescent="0.35">
      <c r="B839" s="91"/>
      <c r="C839" s="64" t="s">
        <v>229</v>
      </c>
      <c r="D839" s="64"/>
      <c r="E839" s="64"/>
      <c r="F839" s="77"/>
      <c r="G839" s="64"/>
      <c r="H839" s="77"/>
      <c r="I839" s="91"/>
      <c r="J839" s="91"/>
      <c r="K839" s="91"/>
      <c r="L839" s="91"/>
      <c r="M839" s="91"/>
    </row>
    <row r="840" spans="2:13" x14ac:dyDescent="0.35">
      <c r="B840" s="91">
        <v>17</v>
      </c>
      <c r="C840" s="64" t="s">
        <v>222</v>
      </c>
      <c r="D840" s="64" t="s">
        <v>112</v>
      </c>
      <c r="E840" s="64" t="s">
        <v>560</v>
      </c>
      <c r="F840" s="64" t="s">
        <v>561</v>
      </c>
      <c r="G840" s="64" t="s">
        <v>563</v>
      </c>
      <c r="H840" s="64" t="s">
        <v>564</v>
      </c>
      <c r="I840" s="91">
        <v>9.09</v>
      </c>
      <c r="J840" s="91" t="s">
        <v>115</v>
      </c>
      <c r="K840" s="91" t="s">
        <v>562</v>
      </c>
      <c r="L840" s="91">
        <v>27</v>
      </c>
      <c r="M840" s="91">
        <v>5</v>
      </c>
    </row>
    <row r="841" spans="2:13" x14ac:dyDescent="0.35">
      <c r="B841" s="91"/>
      <c r="C841" s="64" t="s">
        <v>228</v>
      </c>
      <c r="D841" s="64"/>
      <c r="E841" s="64"/>
      <c r="F841" s="64">
        <v>89.29</v>
      </c>
      <c r="G841" s="64"/>
      <c r="H841" s="64">
        <v>89.177000000000007</v>
      </c>
      <c r="I841" s="91"/>
      <c r="J841" s="91"/>
      <c r="K841" s="91"/>
      <c r="L841" s="91"/>
      <c r="M841" s="91"/>
    </row>
    <row r="842" spans="2:13" x14ac:dyDescent="0.35">
      <c r="B842" s="91"/>
      <c r="C842" s="64" t="s">
        <v>229</v>
      </c>
      <c r="D842" s="64"/>
      <c r="E842" s="64"/>
      <c r="F842" s="77"/>
      <c r="G842" s="64"/>
      <c r="H842" s="77"/>
      <c r="I842" s="91"/>
      <c r="J842" s="91"/>
      <c r="K842" s="91"/>
      <c r="L842" s="91"/>
      <c r="M842" s="91"/>
    </row>
    <row r="843" spans="2:13" x14ac:dyDescent="0.35">
      <c r="B843" s="91">
        <v>18</v>
      </c>
      <c r="C843" s="64" t="s">
        <v>222</v>
      </c>
      <c r="D843" s="64" t="s">
        <v>112</v>
      </c>
      <c r="E843" s="64" t="s">
        <v>563</v>
      </c>
      <c r="F843" s="64" t="s">
        <v>564</v>
      </c>
      <c r="G843" s="64" t="s">
        <v>565</v>
      </c>
      <c r="H843" s="64" t="s">
        <v>566</v>
      </c>
      <c r="I843" s="91">
        <v>4.6100000000000003</v>
      </c>
      <c r="J843" s="91" t="s">
        <v>115</v>
      </c>
      <c r="K843" s="91" t="s">
        <v>548</v>
      </c>
      <c r="L843" s="91">
        <v>27</v>
      </c>
      <c r="M843" s="91">
        <v>5</v>
      </c>
    </row>
    <row r="844" spans="2:13" x14ac:dyDescent="0.35">
      <c r="B844" s="91"/>
      <c r="C844" s="64" t="s">
        <v>228</v>
      </c>
      <c r="D844" s="64"/>
      <c r="E844" s="64"/>
      <c r="F844" s="64">
        <v>89.177000000000007</v>
      </c>
      <c r="G844" s="64"/>
      <c r="H844" s="64">
        <v>89.129000000000005</v>
      </c>
      <c r="I844" s="91"/>
      <c r="J844" s="91"/>
      <c r="K844" s="91"/>
      <c r="L844" s="91"/>
      <c r="M844" s="91"/>
    </row>
    <row r="845" spans="2:13" x14ac:dyDescent="0.35">
      <c r="B845" s="91"/>
      <c r="C845" s="64" t="s">
        <v>229</v>
      </c>
      <c r="D845" s="64"/>
      <c r="E845" s="64"/>
      <c r="F845" s="77"/>
      <c r="G845" s="64"/>
      <c r="H845" s="77"/>
      <c r="I845" s="91"/>
      <c r="J845" s="91"/>
      <c r="K845" s="91"/>
      <c r="L845" s="91"/>
      <c r="M845" s="91"/>
    </row>
    <row r="846" spans="2:13" x14ac:dyDescent="0.35">
      <c r="B846" s="91">
        <v>19</v>
      </c>
      <c r="C846" s="64" t="s">
        <v>222</v>
      </c>
      <c r="D846" s="64" t="s">
        <v>112</v>
      </c>
      <c r="E846" s="64" t="s">
        <v>565</v>
      </c>
      <c r="F846" s="64" t="s">
        <v>566</v>
      </c>
      <c r="G846" s="64" t="s">
        <v>567</v>
      </c>
      <c r="H846" s="64" t="s">
        <v>568</v>
      </c>
      <c r="I846" s="91">
        <v>8.4499999999999993</v>
      </c>
      <c r="J846" s="91" t="s">
        <v>115</v>
      </c>
      <c r="K846" s="91" t="s">
        <v>548</v>
      </c>
      <c r="L846" s="91">
        <v>27</v>
      </c>
      <c r="M846" s="91">
        <v>5</v>
      </c>
    </row>
    <row r="847" spans="2:13" x14ac:dyDescent="0.35">
      <c r="B847" s="91"/>
      <c r="C847" s="64" t="s">
        <v>228</v>
      </c>
      <c r="D847" s="64"/>
      <c r="E847" s="64"/>
      <c r="F847" s="64">
        <v>89.129000000000005</v>
      </c>
      <c r="G847" s="64"/>
      <c r="H847" s="64">
        <v>89.058000000000007</v>
      </c>
      <c r="I847" s="91"/>
      <c r="J847" s="91"/>
      <c r="K847" s="91"/>
      <c r="L847" s="91"/>
      <c r="M847" s="91"/>
    </row>
    <row r="848" spans="2:13" x14ac:dyDescent="0.35">
      <c r="B848" s="91"/>
      <c r="C848" s="64" t="s">
        <v>229</v>
      </c>
      <c r="D848" s="64"/>
      <c r="E848" s="64"/>
      <c r="F848" s="77"/>
      <c r="G848" s="64"/>
      <c r="H848" s="77"/>
      <c r="I848" s="91"/>
      <c r="J848" s="91"/>
      <c r="K848" s="91"/>
      <c r="L848" s="91"/>
      <c r="M848" s="91"/>
    </row>
    <row r="849" spans="2:13" x14ac:dyDescent="0.35">
      <c r="B849" s="91">
        <v>20</v>
      </c>
      <c r="C849" s="64" t="s">
        <v>222</v>
      </c>
      <c r="D849" s="64" t="s">
        <v>112</v>
      </c>
      <c r="E849" s="64" t="s">
        <v>567</v>
      </c>
      <c r="F849" s="64" t="s">
        <v>568</v>
      </c>
      <c r="G849" s="64" t="s">
        <v>478</v>
      </c>
      <c r="H849" s="64" t="s">
        <v>569</v>
      </c>
      <c r="I849" s="91">
        <v>7.25</v>
      </c>
      <c r="J849" s="91" t="s">
        <v>115</v>
      </c>
      <c r="K849" s="91" t="s">
        <v>562</v>
      </c>
      <c r="L849" s="91">
        <v>27</v>
      </c>
      <c r="M849" s="91">
        <v>5</v>
      </c>
    </row>
    <row r="850" spans="2:13" x14ac:dyDescent="0.35">
      <c r="B850" s="91"/>
      <c r="C850" s="64" t="s">
        <v>228</v>
      </c>
      <c r="D850" s="64"/>
      <c r="E850" s="64"/>
      <c r="F850" s="64">
        <v>89.058000000000007</v>
      </c>
      <c r="G850" s="64"/>
      <c r="H850" s="64">
        <v>88.887</v>
      </c>
      <c r="I850" s="91"/>
      <c r="J850" s="91"/>
      <c r="K850" s="91"/>
      <c r="L850" s="91"/>
      <c r="M850" s="91"/>
    </row>
    <row r="851" spans="2:13" x14ac:dyDescent="0.35">
      <c r="B851" s="91"/>
      <c r="C851" s="64" t="s">
        <v>229</v>
      </c>
      <c r="D851" s="64"/>
      <c r="E851" s="64"/>
      <c r="F851" s="77"/>
      <c r="G851" s="64"/>
      <c r="H851" s="77"/>
      <c r="I851" s="91"/>
      <c r="J851" s="91"/>
      <c r="K851" s="91"/>
      <c r="L851" s="91"/>
      <c r="M851" s="91"/>
    </row>
    <row r="852" spans="2:13" x14ac:dyDescent="0.35">
      <c r="B852" s="91">
        <v>21</v>
      </c>
      <c r="C852" s="64" t="s">
        <v>222</v>
      </c>
      <c r="D852" s="64" t="s">
        <v>112</v>
      </c>
      <c r="E852" s="64" t="s">
        <v>478</v>
      </c>
      <c r="F852" s="64" t="s">
        <v>569</v>
      </c>
      <c r="G852" s="64" t="s">
        <v>570</v>
      </c>
      <c r="H852" s="64" t="s">
        <v>571</v>
      </c>
      <c r="I852" s="91">
        <v>8.17</v>
      </c>
      <c r="J852" s="91" t="s">
        <v>115</v>
      </c>
      <c r="K852" s="91" t="s">
        <v>373</v>
      </c>
      <c r="L852" s="91">
        <v>29</v>
      </c>
      <c r="M852" s="91">
        <v>19</v>
      </c>
    </row>
    <row r="853" spans="2:13" x14ac:dyDescent="0.35">
      <c r="B853" s="91"/>
      <c r="C853" s="64" t="s">
        <v>228</v>
      </c>
      <c r="D853" s="64"/>
      <c r="E853" s="64"/>
      <c r="F853" s="64">
        <v>88.887</v>
      </c>
      <c r="G853" s="64"/>
      <c r="H853" s="64">
        <v>89.350999999999999</v>
      </c>
      <c r="I853" s="91"/>
      <c r="J853" s="91"/>
      <c r="K853" s="91"/>
      <c r="L853" s="91"/>
      <c r="M853" s="91"/>
    </row>
    <row r="854" spans="2:13" x14ac:dyDescent="0.35">
      <c r="B854" s="91"/>
      <c r="C854" s="64" t="s">
        <v>229</v>
      </c>
      <c r="D854" s="64"/>
      <c r="E854" s="64"/>
      <c r="F854" s="77"/>
      <c r="G854" s="64"/>
      <c r="H854" s="77"/>
      <c r="I854" s="91"/>
      <c r="J854" s="91"/>
      <c r="K854" s="91"/>
      <c r="L854" s="91"/>
      <c r="M854" s="91"/>
    </row>
    <row r="855" spans="2:13" x14ac:dyDescent="0.35">
      <c r="B855" s="91">
        <v>22</v>
      </c>
      <c r="C855" s="64" t="s">
        <v>222</v>
      </c>
      <c r="D855" s="64" t="s">
        <v>112</v>
      </c>
      <c r="E855" s="64" t="s">
        <v>570</v>
      </c>
      <c r="F855" s="64" t="s">
        <v>571</v>
      </c>
      <c r="G855" s="64" t="s">
        <v>572</v>
      </c>
      <c r="H855" s="64" t="s">
        <v>573</v>
      </c>
      <c r="I855" s="91">
        <v>9.48</v>
      </c>
      <c r="J855" s="91" t="s">
        <v>115</v>
      </c>
      <c r="K855" s="91" t="s">
        <v>373</v>
      </c>
      <c r="L855" s="91">
        <v>29</v>
      </c>
      <c r="M855" s="91">
        <v>19</v>
      </c>
    </row>
    <row r="856" spans="2:13" x14ac:dyDescent="0.35">
      <c r="B856" s="91"/>
      <c r="C856" s="64" t="s">
        <v>228</v>
      </c>
      <c r="D856" s="64"/>
      <c r="E856" s="64"/>
      <c r="F856" s="64">
        <v>89.350999999999999</v>
      </c>
      <c r="G856" s="64"/>
      <c r="H856" s="64">
        <v>89.263000000000005</v>
      </c>
      <c r="I856" s="91"/>
      <c r="J856" s="91"/>
      <c r="K856" s="91"/>
      <c r="L856" s="91"/>
      <c r="M856" s="91"/>
    </row>
    <row r="857" spans="2:13" x14ac:dyDescent="0.35">
      <c r="B857" s="91"/>
      <c r="C857" s="64" t="s">
        <v>229</v>
      </c>
      <c r="D857" s="64"/>
      <c r="E857" s="64"/>
      <c r="F857" s="77"/>
      <c r="G857" s="64"/>
      <c r="H857" s="77"/>
      <c r="I857" s="91"/>
      <c r="J857" s="91"/>
      <c r="K857" s="91"/>
      <c r="L857" s="91"/>
      <c r="M857" s="91"/>
    </row>
    <row r="858" spans="2:13" x14ac:dyDescent="0.35">
      <c r="B858" s="91">
        <v>23</v>
      </c>
      <c r="C858" s="64" t="s">
        <v>222</v>
      </c>
      <c r="D858" s="64" t="s">
        <v>112</v>
      </c>
      <c r="E858" s="64" t="s">
        <v>572</v>
      </c>
      <c r="F858" s="64" t="s">
        <v>573</v>
      </c>
      <c r="G858" s="64" t="s">
        <v>574</v>
      </c>
      <c r="H858" s="64" t="s">
        <v>575</v>
      </c>
      <c r="I858" s="91">
        <v>12.45</v>
      </c>
      <c r="J858" s="91" t="s">
        <v>115</v>
      </c>
      <c r="K858" s="91" t="s">
        <v>373</v>
      </c>
      <c r="L858" s="91">
        <v>29</v>
      </c>
      <c r="M858" s="91">
        <v>19</v>
      </c>
    </row>
    <row r="859" spans="2:13" x14ac:dyDescent="0.35">
      <c r="B859" s="91"/>
      <c r="C859" s="64" t="s">
        <v>228</v>
      </c>
      <c r="D859" s="64"/>
      <c r="E859" s="64"/>
      <c r="F859" s="64">
        <v>89.263000000000005</v>
      </c>
      <c r="G859" s="64"/>
      <c r="H859" s="64">
        <v>89.149000000000001</v>
      </c>
      <c r="I859" s="91"/>
      <c r="J859" s="91"/>
      <c r="K859" s="91"/>
      <c r="L859" s="91"/>
      <c r="M859" s="91"/>
    </row>
    <row r="860" spans="2:13" x14ac:dyDescent="0.35">
      <c r="B860" s="91"/>
      <c r="C860" s="64" t="s">
        <v>229</v>
      </c>
      <c r="D860" s="64"/>
      <c r="E860" s="64"/>
      <c r="F860" s="77"/>
      <c r="G860" s="64"/>
      <c r="H860" s="77"/>
      <c r="I860" s="91"/>
      <c r="J860" s="91"/>
      <c r="K860" s="91"/>
      <c r="L860" s="91"/>
      <c r="M860" s="91"/>
    </row>
    <row r="861" spans="2:13" x14ac:dyDescent="0.35">
      <c r="B861" s="91">
        <v>24</v>
      </c>
      <c r="C861" s="64" t="s">
        <v>222</v>
      </c>
      <c r="D861" s="64" t="s">
        <v>112</v>
      </c>
      <c r="E861" s="64" t="s">
        <v>574</v>
      </c>
      <c r="F861" s="64" t="s">
        <v>575</v>
      </c>
      <c r="G861" s="64" t="s">
        <v>576</v>
      </c>
      <c r="H861" s="64" t="s">
        <v>577</v>
      </c>
      <c r="I861" s="91">
        <v>9.42</v>
      </c>
      <c r="J861" s="91" t="s">
        <v>115</v>
      </c>
      <c r="K861" s="91" t="s">
        <v>373</v>
      </c>
      <c r="L861" s="91">
        <v>29</v>
      </c>
      <c r="M861" s="91">
        <v>19</v>
      </c>
    </row>
    <row r="862" spans="2:13" x14ac:dyDescent="0.35">
      <c r="B862" s="91"/>
      <c r="C862" s="64" t="s">
        <v>228</v>
      </c>
      <c r="D862" s="64"/>
      <c r="E862" s="64"/>
      <c r="F862" s="64">
        <v>89.149000000000001</v>
      </c>
      <c r="G862" s="64"/>
      <c r="H862" s="64">
        <v>89.057000000000002</v>
      </c>
      <c r="I862" s="91"/>
      <c r="J862" s="91"/>
      <c r="K862" s="91"/>
      <c r="L862" s="91"/>
      <c r="M862" s="91"/>
    </row>
    <row r="863" spans="2:13" x14ac:dyDescent="0.35">
      <c r="B863" s="91"/>
      <c r="C863" s="64" t="s">
        <v>229</v>
      </c>
      <c r="D863" s="64"/>
      <c r="E863" s="64"/>
      <c r="F863" s="77"/>
      <c r="G863" s="64"/>
      <c r="H863" s="77"/>
      <c r="I863" s="91"/>
      <c r="J863" s="91"/>
      <c r="K863" s="91"/>
      <c r="L863" s="91"/>
      <c r="M863" s="91"/>
    </row>
    <row r="864" spans="2:13" x14ac:dyDescent="0.35">
      <c r="B864" s="91">
        <v>25</v>
      </c>
      <c r="C864" s="64" t="s">
        <v>222</v>
      </c>
      <c r="D864" s="64" t="s">
        <v>112</v>
      </c>
      <c r="E864" s="64" t="s">
        <v>576</v>
      </c>
      <c r="F864" s="64" t="s">
        <v>577</v>
      </c>
      <c r="G864" s="64" t="s">
        <v>578</v>
      </c>
      <c r="H864" s="64" t="s">
        <v>579</v>
      </c>
      <c r="I864" s="91">
        <v>8</v>
      </c>
      <c r="J864" s="91" t="s">
        <v>115</v>
      </c>
      <c r="K864" s="91" t="s">
        <v>373</v>
      </c>
      <c r="L864" s="91">
        <v>29</v>
      </c>
      <c r="M864" s="91">
        <v>19</v>
      </c>
    </row>
    <row r="865" spans="2:13" x14ac:dyDescent="0.35">
      <c r="B865" s="91"/>
      <c r="C865" s="64" t="s">
        <v>228</v>
      </c>
      <c r="D865" s="64"/>
      <c r="E865" s="64"/>
      <c r="F865" s="64">
        <v>89.057000000000002</v>
      </c>
      <c r="G865" s="64"/>
      <c r="H865" s="64">
        <v>88.980999999999995</v>
      </c>
      <c r="I865" s="91"/>
      <c r="J865" s="91"/>
      <c r="K865" s="91"/>
      <c r="L865" s="91"/>
      <c r="M865" s="91"/>
    </row>
    <row r="866" spans="2:13" x14ac:dyDescent="0.35">
      <c r="B866" s="91"/>
      <c r="C866" s="64" t="s">
        <v>229</v>
      </c>
      <c r="D866" s="64"/>
      <c r="E866" s="64"/>
      <c r="F866" s="77"/>
      <c r="G866" s="64"/>
      <c r="H866" s="77"/>
      <c r="I866" s="91"/>
      <c r="J866" s="91"/>
      <c r="K866" s="91"/>
      <c r="L866" s="91"/>
      <c r="M866" s="91"/>
    </row>
    <row r="867" spans="2:13" x14ac:dyDescent="0.35">
      <c r="B867" s="91">
        <v>26</v>
      </c>
      <c r="C867" s="64" t="s">
        <v>222</v>
      </c>
      <c r="D867" s="64" t="s">
        <v>112</v>
      </c>
      <c r="E867" s="64" t="s">
        <v>578</v>
      </c>
      <c r="F867" s="64" t="s">
        <v>579</v>
      </c>
      <c r="G867" s="64" t="s">
        <v>580</v>
      </c>
      <c r="H867" s="64" t="s">
        <v>581</v>
      </c>
      <c r="I867" s="91">
        <v>7.7</v>
      </c>
      <c r="J867" s="91" t="s">
        <v>115</v>
      </c>
      <c r="K867" s="91" t="s">
        <v>300</v>
      </c>
      <c r="L867" s="91">
        <v>29</v>
      </c>
      <c r="M867" s="91">
        <v>19</v>
      </c>
    </row>
    <row r="868" spans="2:13" x14ac:dyDescent="0.35">
      <c r="B868" s="91"/>
      <c r="C868" s="64" t="s">
        <v>228</v>
      </c>
      <c r="D868" s="64"/>
      <c r="E868" s="64"/>
      <c r="F868" s="77">
        <v>88.980999999999995</v>
      </c>
      <c r="G868" s="64"/>
      <c r="H868" s="77">
        <v>88.915000000000006</v>
      </c>
      <c r="I868" s="91"/>
      <c r="J868" s="91"/>
      <c r="K868" s="91"/>
      <c r="L868" s="91"/>
      <c r="M868" s="91"/>
    </row>
    <row r="869" spans="2:13" x14ac:dyDescent="0.35">
      <c r="B869" s="91"/>
      <c r="C869" s="64" t="s">
        <v>229</v>
      </c>
      <c r="D869" s="64"/>
      <c r="E869" s="64"/>
      <c r="F869" s="77"/>
      <c r="G869" s="64"/>
      <c r="H869" s="77"/>
      <c r="I869" s="91"/>
      <c r="J869" s="91"/>
      <c r="K869" s="91"/>
      <c r="L869" s="91"/>
      <c r="M869" s="91"/>
    </row>
    <row r="870" spans="2:13" x14ac:dyDescent="0.35">
      <c r="B870" s="91">
        <v>27</v>
      </c>
      <c r="C870" s="64" t="s">
        <v>222</v>
      </c>
      <c r="D870" s="64" t="s">
        <v>112</v>
      </c>
      <c r="E870" s="64" t="s">
        <v>580</v>
      </c>
      <c r="F870" s="64" t="s">
        <v>581</v>
      </c>
      <c r="G870" s="64" t="s">
        <v>582</v>
      </c>
      <c r="H870" s="64" t="s">
        <v>583</v>
      </c>
      <c r="I870" s="91">
        <v>14.59</v>
      </c>
      <c r="J870" s="91" t="s">
        <v>115</v>
      </c>
      <c r="K870" s="91" t="s">
        <v>562</v>
      </c>
      <c r="L870" s="91">
        <v>25</v>
      </c>
      <c r="M870" s="91">
        <v>7</v>
      </c>
    </row>
    <row r="871" spans="2:13" x14ac:dyDescent="0.35">
      <c r="B871" s="91"/>
      <c r="C871" s="64" t="s">
        <v>228</v>
      </c>
      <c r="D871" s="64"/>
      <c r="E871" s="64"/>
      <c r="F871" s="77">
        <v>88.915000000000006</v>
      </c>
      <c r="G871" s="64"/>
      <c r="H871" s="77">
        <v>88.775000000000006</v>
      </c>
      <c r="I871" s="91"/>
      <c r="J871" s="91"/>
      <c r="K871" s="91"/>
      <c r="L871" s="91"/>
      <c r="M871" s="91"/>
    </row>
    <row r="872" spans="2:13" x14ac:dyDescent="0.35">
      <c r="B872" s="91"/>
      <c r="C872" s="64" t="s">
        <v>229</v>
      </c>
      <c r="D872" s="64"/>
      <c r="E872" s="64"/>
      <c r="F872" s="77"/>
      <c r="G872" s="64"/>
      <c r="H872" s="77"/>
      <c r="I872" s="91"/>
      <c r="J872" s="91"/>
      <c r="K872" s="91"/>
      <c r="L872" s="91"/>
      <c r="M872" s="91"/>
    </row>
    <row r="873" spans="2:13" x14ac:dyDescent="0.35">
      <c r="B873" s="91">
        <v>28</v>
      </c>
      <c r="C873" s="64" t="s">
        <v>222</v>
      </c>
      <c r="D873" s="64" t="s">
        <v>112</v>
      </c>
      <c r="E873" s="64" t="s">
        <v>582</v>
      </c>
      <c r="F873" s="64" t="s">
        <v>583</v>
      </c>
      <c r="G873" s="64" t="s">
        <v>584</v>
      </c>
      <c r="H873" s="64" t="s">
        <v>585</v>
      </c>
      <c r="I873" s="91">
        <v>16.21</v>
      </c>
      <c r="J873" s="91" t="s">
        <v>115</v>
      </c>
      <c r="K873" s="91" t="s">
        <v>562</v>
      </c>
      <c r="L873" s="91">
        <v>25</v>
      </c>
      <c r="M873" s="91">
        <v>7</v>
      </c>
    </row>
    <row r="874" spans="2:13" x14ac:dyDescent="0.35">
      <c r="B874" s="91"/>
      <c r="C874" s="64" t="s">
        <v>228</v>
      </c>
      <c r="D874" s="64"/>
      <c r="E874" s="64"/>
      <c r="F874" s="77">
        <v>88.775000000000006</v>
      </c>
      <c r="G874" s="64"/>
      <c r="H874" s="77">
        <v>88.632000000000005</v>
      </c>
      <c r="I874" s="91"/>
      <c r="J874" s="91"/>
      <c r="K874" s="91"/>
      <c r="L874" s="91"/>
      <c r="M874" s="91"/>
    </row>
    <row r="875" spans="2:13" x14ac:dyDescent="0.35">
      <c r="B875" s="91"/>
      <c r="C875" s="64" t="s">
        <v>229</v>
      </c>
      <c r="D875" s="64"/>
      <c r="E875" s="64"/>
      <c r="F875" s="77"/>
      <c r="G875" s="64"/>
      <c r="H875" s="77"/>
      <c r="I875" s="91"/>
      <c r="J875" s="91"/>
      <c r="K875" s="91"/>
      <c r="L875" s="91"/>
      <c r="M875" s="91"/>
    </row>
    <row r="876" spans="2:13" x14ac:dyDescent="0.35">
      <c r="B876" s="91">
        <v>29</v>
      </c>
      <c r="C876" s="64" t="s">
        <v>222</v>
      </c>
      <c r="D876" s="64" t="s">
        <v>112</v>
      </c>
      <c r="E876" s="64" t="s">
        <v>584</v>
      </c>
      <c r="F876" s="64" t="s">
        <v>585</v>
      </c>
      <c r="G876" s="64" t="s">
        <v>586</v>
      </c>
      <c r="H876" s="64" t="s">
        <v>587</v>
      </c>
      <c r="I876" s="91">
        <v>3.33</v>
      </c>
      <c r="J876" s="91" t="s">
        <v>115</v>
      </c>
      <c r="K876" s="91" t="s">
        <v>300</v>
      </c>
      <c r="L876" s="91">
        <v>7</v>
      </c>
      <c r="M876" s="91">
        <v>41</v>
      </c>
    </row>
    <row r="877" spans="2:13" x14ac:dyDescent="0.35">
      <c r="B877" s="91"/>
      <c r="C877" s="64" t="s">
        <v>228</v>
      </c>
      <c r="D877" s="64"/>
      <c r="E877" s="64"/>
      <c r="F877" s="77">
        <v>88.632000000000005</v>
      </c>
      <c r="G877" s="64"/>
      <c r="H877" s="77">
        <v>88.603999999999999</v>
      </c>
      <c r="I877" s="91"/>
      <c r="J877" s="91"/>
      <c r="K877" s="91"/>
      <c r="L877" s="91"/>
      <c r="M877" s="91"/>
    </row>
    <row r="878" spans="2:13" x14ac:dyDescent="0.35">
      <c r="B878" s="91"/>
      <c r="C878" s="64" t="s">
        <v>229</v>
      </c>
      <c r="D878" s="64"/>
      <c r="E878" s="64"/>
      <c r="F878" s="77"/>
      <c r="G878" s="64"/>
      <c r="H878" s="77"/>
      <c r="I878" s="91"/>
      <c r="J878" s="91"/>
      <c r="K878" s="91"/>
      <c r="L878" s="91"/>
      <c r="M878" s="91"/>
    </row>
    <row r="879" spans="2:13" x14ac:dyDescent="0.35">
      <c r="B879" s="91">
        <v>30</v>
      </c>
      <c r="C879" s="64" t="s">
        <v>222</v>
      </c>
      <c r="D879" s="64" t="s">
        <v>112</v>
      </c>
      <c r="E879" s="64" t="s">
        <v>586</v>
      </c>
      <c r="F879" s="64" t="s">
        <v>587</v>
      </c>
      <c r="G879" s="64" t="s">
        <v>588</v>
      </c>
      <c r="H879" s="64" t="s">
        <v>589</v>
      </c>
      <c r="I879" s="91">
        <v>6.01</v>
      </c>
      <c r="J879" s="91" t="s">
        <v>115</v>
      </c>
      <c r="K879" s="91" t="s">
        <v>300</v>
      </c>
      <c r="L879" s="91">
        <v>3</v>
      </c>
      <c r="M879" s="91">
        <v>45</v>
      </c>
    </row>
    <row r="880" spans="2:13" x14ac:dyDescent="0.35">
      <c r="B880" s="91"/>
      <c r="C880" s="64" t="s">
        <v>228</v>
      </c>
      <c r="D880" s="64"/>
      <c r="E880" s="64"/>
      <c r="F880" s="77">
        <v>88.603999999999999</v>
      </c>
      <c r="G880" s="64"/>
      <c r="H880" s="77">
        <v>88.537999999999997</v>
      </c>
      <c r="I880" s="91"/>
      <c r="J880" s="91"/>
      <c r="K880" s="91"/>
      <c r="L880" s="91"/>
      <c r="M880" s="91"/>
    </row>
    <row r="881" spans="2:13" x14ac:dyDescent="0.35">
      <c r="B881" s="91"/>
      <c r="C881" s="64" t="s">
        <v>229</v>
      </c>
      <c r="D881" s="64"/>
      <c r="E881" s="64"/>
      <c r="F881" s="77"/>
      <c r="G881" s="64"/>
      <c r="H881" s="77"/>
      <c r="I881" s="91"/>
      <c r="J881" s="91"/>
      <c r="K881" s="91"/>
      <c r="L881" s="91"/>
      <c r="M881" s="91"/>
    </row>
    <row r="882" spans="2:13" x14ac:dyDescent="0.35">
      <c r="B882" s="91">
        <v>31</v>
      </c>
      <c r="C882" s="64" t="s">
        <v>222</v>
      </c>
      <c r="D882" s="64" t="s">
        <v>112</v>
      </c>
      <c r="E882" s="64" t="s">
        <v>588</v>
      </c>
      <c r="F882" s="64" t="s">
        <v>589</v>
      </c>
      <c r="G882" s="64" t="s">
        <v>590</v>
      </c>
      <c r="H882" s="64" t="s">
        <v>591</v>
      </c>
      <c r="I882" s="91">
        <v>13.09</v>
      </c>
      <c r="J882" s="91" t="s">
        <v>115</v>
      </c>
      <c r="K882" s="91" t="s">
        <v>373</v>
      </c>
      <c r="L882" s="91">
        <v>7</v>
      </c>
      <c r="M882" s="91">
        <v>41</v>
      </c>
    </row>
    <row r="883" spans="2:13" x14ac:dyDescent="0.35">
      <c r="B883" s="91"/>
      <c r="C883" s="64" t="s">
        <v>228</v>
      </c>
      <c r="D883" s="64"/>
      <c r="E883" s="64"/>
      <c r="F883" s="77">
        <v>88.537999999999997</v>
      </c>
      <c r="G883" s="64"/>
      <c r="H883" s="77">
        <v>88.537000000000006</v>
      </c>
      <c r="I883" s="91"/>
      <c r="J883" s="91"/>
      <c r="K883" s="91"/>
      <c r="L883" s="91"/>
      <c r="M883" s="91"/>
    </row>
    <row r="884" spans="2:13" x14ac:dyDescent="0.35">
      <c r="B884" s="91"/>
      <c r="C884" s="64" t="s">
        <v>229</v>
      </c>
      <c r="D884" s="64"/>
      <c r="E884" s="64"/>
      <c r="F884" s="77"/>
      <c r="G884" s="64"/>
      <c r="H884" s="77"/>
      <c r="I884" s="91"/>
      <c r="J884" s="91"/>
      <c r="K884" s="91"/>
      <c r="L884" s="91"/>
      <c r="M884" s="91"/>
    </row>
    <row r="885" spans="2:13" x14ac:dyDescent="0.35">
      <c r="B885" s="91">
        <v>32</v>
      </c>
      <c r="C885" s="64" t="s">
        <v>222</v>
      </c>
      <c r="D885" s="64" t="s">
        <v>112</v>
      </c>
      <c r="E885" s="64" t="s">
        <v>590</v>
      </c>
      <c r="F885" s="64" t="s">
        <v>591</v>
      </c>
      <c r="G885" s="64" t="s">
        <v>592</v>
      </c>
      <c r="H885" s="64" t="s">
        <v>593</v>
      </c>
      <c r="I885" s="91">
        <v>11.96</v>
      </c>
      <c r="J885" s="91" t="s">
        <v>115</v>
      </c>
      <c r="K885" s="91" t="s">
        <v>373</v>
      </c>
      <c r="L885" s="91">
        <v>7</v>
      </c>
      <c r="M885" s="91">
        <v>41</v>
      </c>
    </row>
    <row r="886" spans="2:13" x14ac:dyDescent="0.35">
      <c r="B886" s="91"/>
      <c r="C886" s="64" t="s">
        <v>228</v>
      </c>
      <c r="D886" s="64"/>
      <c r="E886" s="64"/>
      <c r="F886" s="77">
        <v>88.537000000000006</v>
      </c>
      <c r="G886" s="64"/>
      <c r="H886" s="77">
        <v>88.460999999999999</v>
      </c>
      <c r="I886" s="91"/>
      <c r="J886" s="91"/>
      <c r="K886" s="91"/>
      <c r="L886" s="91"/>
      <c r="M886" s="91"/>
    </row>
    <row r="887" spans="2:13" x14ac:dyDescent="0.35">
      <c r="B887" s="91"/>
      <c r="C887" s="64" t="s">
        <v>229</v>
      </c>
      <c r="D887" s="64"/>
      <c r="E887" s="64"/>
      <c r="F887" s="77"/>
      <c r="G887" s="64"/>
      <c r="H887" s="77"/>
      <c r="I887" s="91"/>
      <c r="J887" s="91"/>
      <c r="K887" s="91"/>
      <c r="L887" s="91"/>
      <c r="M887" s="91"/>
    </row>
    <row r="888" spans="2:13" x14ac:dyDescent="0.35">
      <c r="B888" s="91">
        <v>33</v>
      </c>
      <c r="C888" s="64" t="s">
        <v>222</v>
      </c>
      <c r="D888" s="64" t="s">
        <v>112</v>
      </c>
      <c r="E888" s="64" t="s">
        <v>592</v>
      </c>
      <c r="F888" s="64" t="s">
        <v>593</v>
      </c>
      <c r="G888" s="64" t="s">
        <v>594</v>
      </c>
      <c r="H888" s="64" t="s">
        <v>595</v>
      </c>
      <c r="I888" s="91">
        <v>13.58</v>
      </c>
      <c r="J888" s="91" t="s">
        <v>115</v>
      </c>
      <c r="K888" s="91" t="s">
        <v>300</v>
      </c>
      <c r="L888" s="91">
        <v>7</v>
      </c>
      <c r="M888" s="91">
        <v>41</v>
      </c>
    </row>
    <row r="889" spans="2:13" x14ac:dyDescent="0.35">
      <c r="B889" s="91"/>
      <c r="C889" s="64" t="s">
        <v>228</v>
      </c>
      <c r="D889" s="64"/>
      <c r="E889" s="64"/>
      <c r="F889" s="77">
        <v>88.460999999999999</v>
      </c>
      <c r="G889" s="64"/>
      <c r="H889" s="77">
        <v>88.356999999999999</v>
      </c>
      <c r="I889" s="91"/>
      <c r="J889" s="91"/>
      <c r="K889" s="91"/>
      <c r="L889" s="91"/>
      <c r="M889" s="91"/>
    </row>
    <row r="890" spans="2:13" x14ac:dyDescent="0.35">
      <c r="B890" s="91"/>
      <c r="C890" s="64" t="s">
        <v>229</v>
      </c>
      <c r="D890" s="64"/>
      <c r="E890" s="64"/>
      <c r="F890" s="77"/>
      <c r="G890" s="64"/>
      <c r="H890" s="77"/>
      <c r="I890" s="91"/>
      <c r="J890" s="91"/>
      <c r="K890" s="91"/>
      <c r="L890" s="91"/>
      <c r="M890" s="91"/>
    </row>
    <row r="891" spans="2:13" x14ac:dyDescent="0.35">
      <c r="B891" s="91">
        <v>34</v>
      </c>
      <c r="C891" s="64" t="s">
        <v>222</v>
      </c>
      <c r="D891" s="64" t="s">
        <v>112</v>
      </c>
      <c r="E891" s="64" t="s">
        <v>596</v>
      </c>
      <c r="F891" s="64" t="s">
        <v>595</v>
      </c>
      <c r="G891" s="64" t="s">
        <v>597</v>
      </c>
      <c r="H891" s="64" t="s">
        <v>598</v>
      </c>
      <c r="I891" s="91">
        <v>8.1999999999999993</v>
      </c>
      <c r="J891" s="91" t="s">
        <v>115</v>
      </c>
      <c r="K891" s="91" t="s">
        <v>300</v>
      </c>
      <c r="L891" s="91">
        <v>7</v>
      </c>
      <c r="M891" s="91">
        <v>41</v>
      </c>
    </row>
    <row r="892" spans="2:13" x14ac:dyDescent="0.35">
      <c r="B892" s="91"/>
      <c r="C892" s="64" t="s">
        <v>228</v>
      </c>
      <c r="D892" s="64"/>
      <c r="E892" s="64"/>
      <c r="F892" s="77">
        <v>88.356999999999999</v>
      </c>
      <c r="G892" s="64"/>
      <c r="H892" s="77">
        <v>88.367000000000004</v>
      </c>
      <c r="I892" s="91"/>
      <c r="J892" s="91"/>
      <c r="K892" s="91"/>
      <c r="L892" s="91"/>
      <c r="M892" s="91"/>
    </row>
    <row r="893" spans="2:13" x14ac:dyDescent="0.35">
      <c r="B893" s="91"/>
      <c r="C893" s="64" t="s">
        <v>229</v>
      </c>
      <c r="D893" s="64"/>
      <c r="E893" s="64"/>
      <c r="F893" s="77"/>
      <c r="G893" s="64"/>
      <c r="H893" s="77"/>
      <c r="I893" s="91"/>
      <c r="J893" s="91"/>
      <c r="K893" s="91"/>
      <c r="L893" s="91"/>
      <c r="M893" s="91"/>
    </row>
    <row r="894" spans="2:13" x14ac:dyDescent="0.35">
      <c r="B894" s="91">
        <v>35</v>
      </c>
      <c r="C894" s="64" t="s">
        <v>222</v>
      </c>
      <c r="D894" s="64" t="s">
        <v>112</v>
      </c>
      <c r="E894" s="64" t="s">
        <v>597</v>
      </c>
      <c r="F894" s="64" t="s">
        <v>598</v>
      </c>
      <c r="G894" s="64" t="s">
        <v>599</v>
      </c>
      <c r="H894" s="64" t="s">
        <v>600</v>
      </c>
      <c r="I894" s="91">
        <v>7.99</v>
      </c>
      <c r="J894" s="91" t="s">
        <v>115</v>
      </c>
      <c r="K894" s="91" t="s">
        <v>300</v>
      </c>
      <c r="L894" s="91">
        <v>7</v>
      </c>
      <c r="M894" s="91">
        <v>41</v>
      </c>
    </row>
    <row r="895" spans="2:13" x14ac:dyDescent="0.35">
      <c r="B895" s="91"/>
      <c r="C895" s="64" t="s">
        <v>228</v>
      </c>
      <c r="D895" s="64"/>
      <c r="E895" s="64"/>
      <c r="F895" s="77">
        <v>88.367000000000004</v>
      </c>
      <c r="G895" s="64"/>
      <c r="H895" s="77">
        <v>88.403000000000006</v>
      </c>
      <c r="I895" s="91"/>
      <c r="J895" s="91"/>
      <c r="K895" s="91"/>
      <c r="L895" s="91"/>
      <c r="M895" s="91"/>
    </row>
    <row r="896" spans="2:13" x14ac:dyDescent="0.35">
      <c r="B896" s="91"/>
      <c r="C896" s="64" t="s">
        <v>229</v>
      </c>
      <c r="D896" s="64"/>
      <c r="E896" s="64"/>
      <c r="F896" s="77"/>
      <c r="G896" s="64"/>
      <c r="H896" s="77"/>
      <c r="I896" s="91"/>
      <c r="J896" s="91"/>
      <c r="K896" s="91"/>
      <c r="L896" s="91"/>
      <c r="M896" s="91"/>
    </row>
    <row r="897" spans="2:13" x14ac:dyDescent="0.35">
      <c r="B897" s="91">
        <v>36</v>
      </c>
      <c r="C897" s="64" t="s">
        <v>222</v>
      </c>
      <c r="D897" s="64" t="s">
        <v>112</v>
      </c>
      <c r="E897" s="64" t="s">
        <v>599</v>
      </c>
      <c r="F897" s="64" t="s">
        <v>600</v>
      </c>
      <c r="G897" s="64" t="s">
        <v>601</v>
      </c>
      <c r="H897" s="64" t="s">
        <v>602</v>
      </c>
      <c r="I897" s="91">
        <v>5.71</v>
      </c>
      <c r="J897" s="91" t="s">
        <v>115</v>
      </c>
      <c r="K897" s="91" t="s">
        <v>300</v>
      </c>
      <c r="L897" s="91">
        <v>7</v>
      </c>
      <c r="M897" s="91">
        <v>41</v>
      </c>
    </row>
    <row r="898" spans="2:13" x14ac:dyDescent="0.35">
      <c r="B898" s="91"/>
      <c r="C898" s="64" t="s">
        <v>228</v>
      </c>
      <c r="D898" s="64"/>
      <c r="E898" s="64"/>
      <c r="F898" s="77">
        <v>88.403000000000006</v>
      </c>
      <c r="G898" s="64"/>
      <c r="H898" s="77">
        <v>88.427000000000007</v>
      </c>
      <c r="I898" s="91"/>
      <c r="J898" s="91"/>
      <c r="K898" s="91"/>
      <c r="L898" s="91"/>
      <c r="M898" s="91"/>
    </row>
    <row r="899" spans="2:13" x14ac:dyDescent="0.35">
      <c r="B899" s="91"/>
      <c r="C899" s="64" t="s">
        <v>229</v>
      </c>
      <c r="D899" s="64"/>
      <c r="E899" s="64"/>
      <c r="F899" s="77"/>
      <c r="G899" s="64"/>
      <c r="H899" s="77"/>
      <c r="I899" s="91"/>
      <c r="J899" s="91"/>
      <c r="K899" s="91"/>
      <c r="L899" s="91"/>
      <c r="M899" s="91"/>
    </row>
    <row r="900" spans="2:13" x14ac:dyDescent="0.35">
      <c r="B900" s="91">
        <v>37</v>
      </c>
      <c r="C900" s="64" t="s">
        <v>222</v>
      </c>
      <c r="D900" s="64" t="s">
        <v>112</v>
      </c>
      <c r="E900" s="64" t="s">
        <v>601</v>
      </c>
      <c r="F900" s="64" t="s">
        <v>602</v>
      </c>
      <c r="G900" s="64" t="s">
        <v>603</v>
      </c>
      <c r="H900" s="64" t="s">
        <v>604</v>
      </c>
      <c r="I900" s="91">
        <v>15.56</v>
      </c>
      <c r="J900" s="91" t="s">
        <v>115</v>
      </c>
      <c r="K900" s="91" t="s">
        <v>300</v>
      </c>
      <c r="L900" s="91">
        <v>7</v>
      </c>
      <c r="M900" s="91">
        <v>41</v>
      </c>
    </row>
    <row r="901" spans="2:13" x14ac:dyDescent="0.35">
      <c r="B901" s="91"/>
      <c r="C901" s="64" t="s">
        <v>228</v>
      </c>
      <c r="D901" s="64"/>
      <c r="E901" s="64"/>
      <c r="F901" s="77">
        <v>88.427000000000007</v>
      </c>
      <c r="G901" s="64"/>
      <c r="H901" s="77">
        <v>88.405000000000001</v>
      </c>
      <c r="I901" s="91"/>
      <c r="J901" s="91"/>
      <c r="K901" s="91"/>
      <c r="L901" s="91"/>
      <c r="M901" s="91"/>
    </row>
    <row r="902" spans="2:13" x14ac:dyDescent="0.35">
      <c r="B902" s="91"/>
      <c r="C902" s="64" t="s">
        <v>229</v>
      </c>
      <c r="D902" s="64"/>
      <c r="E902" s="64"/>
      <c r="F902" s="77"/>
      <c r="G902" s="64"/>
      <c r="H902" s="77"/>
      <c r="I902" s="91"/>
      <c r="J902" s="91"/>
      <c r="K902" s="91"/>
      <c r="L902" s="91"/>
      <c r="M902" s="91"/>
    </row>
    <row r="903" spans="2:13" x14ac:dyDescent="0.35">
      <c r="B903" s="91">
        <v>38</v>
      </c>
      <c r="C903" s="64" t="s">
        <v>222</v>
      </c>
      <c r="D903" s="64" t="s">
        <v>112</v>
      </c>
      <c r="E903" s="64" t="s">
        <v>603</v>
      </c>
      <c r="F903" s="64" t="s">
        <v>604</v>
      </c>
      <c r="G903" s="64" t="s">
        <v>605</v>
      </c>
      <c r="H903" s="64" t="s">
        <v>606</v>
      </c>
      <c r="I903" s="91">
        <v>7.36</v>
      </c>
      <c r="J903" s="91" t="s">
        <v>115</v>
      </c>
      <c r="K903" s="91" t="s">
        <v>300</v>
      </c>
      <c r="L903" s="91">
        <v>7</v>
      </c>
      <c r="M903" s="91">
        <v>41</v>
      </c>
    </row>
    <row r="904" spans="2:13" x14ac:dyDescent="0.35">
      <c r="B904" s="91"/>
      <c r="C904" s="64" t="s">
        <v>228</v>
      </c>
      <c r="D904" s="64"/>
      <c r="E904" s="64"/>
      <c r="F904" s="77">
        <v>88.405000000000001</v>
      </c>
      <c r="G904" s="64"/>
      <c r="H904" s="77">
        <v>88.447000000000003</v>
      </c>
      <c r="I904" s="91"/>
      <c r="J904" s="91"/>
      <c r="K904" s="91"/>
      <c r="L904" s="91"/>
      <c r="M904" s="91"/>
    </row>
    <row r="905" spans="2:13" x14ac:dyDescent="0.35">
      <c r="B905" s="91"/>
      <c r="C905" s="64" t="s">
        <v>229</v>
      </c>
      <c r="D905" s="64"/>
      <c r="E905" s="64"/>
      <c r="F905" s="77"/>
      <c r="G905" s="64"/>
      <c r="H905" s="77"/>
      <c r="I905" s="91"/>
      <c r="J905" s="91"/>
      <c r="K905" s="91"/>
      <c r="L905" s="91"/>
      <c r="M905" s="91"/>
    </row>
    <row r="906" spans="2:13" x14ac:dyDescent="0.35">
      <c r="B906" s="91">
        <v>39</v>
      </c>
      <c r="C906" s="64" t="s">
        <v>222</v>
      </c>
      <c r="D906" s="64" t="s">
        <v>112</v>
      </c>
      <c r="E906" s="64" t="s">
        <v>605</v>
      </c>
      <c r="F906" s="64" t="s">
        <v>606</v>
      </c>
      <c r="G906" s="64" t="s">
        <v>607</v>
      </c>
      <c r="H906" s="64" t="s">
        <v>608</v>
      </c>
      <c r="I906" s="91">
        <v>14.82</v>
      </c>
      <c r="J906" s="91" t="s">
        <v>115</v>
      </c>
      <c r="K906" s="91" t="s">
        <v>300</v>
      </c>
      <c r="L906" s="91">
        <v>7</v>
      </c>
      <c r="M906" s="91">
        <v>41</v>
      </c>
    </row>
    <row r="907" spans="2:13" x14ac:dyDescent="0.35">
      <c r="B907" s="91"/>
      <c r="C907" s="64" t="s">
        <v>228</v>
      </c>
      <c r="D907" s="64"/>
      <c r="E907" s="64"/>
      <c r="F907" s="77">
        <v>88.447000000000003</v>
      </c>
      <c r="G907" s="64"/>
      <c r="H907" s="77">
        <v>88.534999999999997</v>
      </c>
      <c r="I907" s="91"/>
      <c r="J907" s="91"/>
      <c r="K907" s="91"/>
      <c r="L907" s="91"/>
      <c r="M907" s="91"/>
    </row>
    <row r="908" spans="2:13" x14ac:dyDescent="0.35">
      <c r="B908" s="91"/>
      <c r="C908" s="64" t="s">
        <v>229</v>
      </c>
      <c r="D908" s="64"/>
      <c r="E908" s="64"/>
      <c r="F908" s="77"/>
      <c r="G908" s="64"/>
      <c r="H908" s="77"/>
      <c r="I908" s="91"/>
      <c r="J908" s="91"/>
      <c r="K908" s="91"/>
      <c r="L908" s="91"/>
      <c r="M908" s="91"/>
    </row>
    <row r="909" spans="2:13" x14ac:dyDescent="0.35">
      <c r="B909" s="91">
        <v>40</v>
      </c>
      <c r="C909" s="64" t="s">
        <v>222</v>
      </c>
      <c r="D909" s="64" t="s">
        <v>112</v>
      </c>
      <c r="E909" s="64" t="s">
        <v>607</v>
      </c>
      <c r="F909" s="64" t="s">
        <v>608</v>
      </c>
      <c r="G909" s="64" t="s">
        <v>609</v>
      </c>
      <c r="H909" s="64" t="s">
        <v>610</v>
      </c>
      <c r="I909" s="91">
        <v>11.69</v>
      </c>
      <c r="J909" s="91" t="s">
        <v>115</v>
      </c>
      <c r="K909" s="91" t="s">
        <v>300</v>
      </c>
      <c r="L909" s="91">
        <v>3</v>
      </c>
      <c r="M909" s="91">
        <v>45</v>
      </c>
    </row>
    <row r="910" spans="2:13" x14ac:dyDescent="0.35">
      <c r="B910" s="91"/>
      <c r="C910" s="64" t="s">
        <v>228</v>
      </c>
      <c r="D910" s="64"/>
      <c r="E910" s="64"/>
      <c r="F910" s="77">
        <v>88.534999999999997</v>
      </c>
      <c r="G910" s="64"/>
      <c r="H910" s="77">
        <v>89.347999999999999</v>
      </c>
      <c r="I910" s="91"/>
      <c r="J910" s="91"/>
      <c r="K910" s="91"/>
      <c r="L910" s="91"/>
      <c r="M910" s="91"/>
    </row>
    <row r="911" spans="2:13" x14ac:dyDescent="0.35">
      <c r="B911" s="91"/>
      <c r="C911" s="64" t="s">
        <v>229</v>
      </c>
      <c r="D911" s="64"/>
      <c r="E911" s="64"/>
      <c r="F911" s="77"/>
      <c r="G911" s="64"/>
      <c r="H911" s="77"/>
      <c r="I911" s="91"/>
      <c r="J911" s="91"/>
      <c r="K911" s="91"/>
      <c r="L911" s="91"/>
      <c r="M911" s="91"/>
    </row>
    <row r="912" spans="2:13" x14ac:dyDescent="0.35">
      <c r="B912" s="91">
        <v>41</v>
      </c>
      <c r="C912" s="64" t="s">
        <v>222</v>
      </c>
      <c r="D912" s="64" t="s">
        <v>112</v>
      </c>
      <c r="E912" s="64" t="s">
        <v>609</v>
      </c>
      <c r="F912" s="64" t="s">
        <v>610</v>
      </c>
      <c r="G912" s="64" t="s">
        <v>611</v>
      </c>
      <c r="H912" s="64" t="s">
        <v>612</v>
      </c>
      <c r="I912" s="91">
        <v>10.26</v>
      </c>
      <c r="J912" s="91" t="s">
        <v>115</v>
      </c>
      <c r="K912" s="91" t="s">
        <v>300</v>
      </c>
      <c r="L912" s="91">
        <v>3</v>
      </c>
      <c r="M912" s="91">
        <v>45</v>
      </c>
    </row>
    <row r="913" spans="2:13" x14ac:dyDescent="0.35">
      <c r="B913" s="91"/>
      <c r="C913" s="64" t="s">
        <v>228</v>
      </c>
      <c r="D913" s="64"/>
      <c r="E913" s="64"/>
      <c r="F913" s="77">
        <v>89.347999999999999</v>
      </c>
      <c r="G913" s="64"/>
      <c r="H913" s="77">
        <v>89.242999999999995</v>
      </c>
      <c r="I913" s="91"/>
      <c r="J913" s="91"/>
      <c r="K913" s="91"/>
      <c r="L913" s="91"/>
      <c r="M913" s="91"/>
    </row>
    <row r="914" spans="2:13" x14ac:dyDescent="0.35">
      <c r="B914" s="91"/>
      <c r="C914" s="64" t="s">
        <v>229</v>
      </c>
      <c r="D914" s="64"/>
      <c r="E914" s="64"/>
      <c r="F914" s="77"/>
      <c r="G914" s="64"/>
      <c r="H914" s="77"/>
      <c r="I914" s="91"/>
      <c r="J914" s="91"/>
      <c r="K914" s="91"/>
      <c r="L914" s="91"/>
      <c r="M914" s="91"/>
    </row>
    <row r="915" spans="2:13" x14ac:dyDescent="0.35">
      <c r="B915" s="91">
        <v>42</v>
      </c>
      <c r="C915" s="64" t="s">
        <v>222</v>
      </c>
      <c r="D915" s="64" t="s">
        <v>112</v>
      </c>
      <c r="E915" s="64" t="s">
        <v>611</v>
      </c>
      <c r="F915" s="64" t="s">
        <v>612</v>
      </c>
      <c r="G915" s="64" t="s">
        <v>613</v>
      </c>
      <c r="H915" s="64" t="s">
        <v>614</v>
      </c>
      <c r="I915" s="91">
        <v>12.12</v>
      </c>
      <c r="J915" s="91" t="s">
        <v>115</v>
      </c>
      <c r="K915" s="91" t="s">
        <v>300</v>
      </c>
      <c r="L915" s="91">
        <v>3</v>
      </c>
      <c r="M915" s="91">
        <v>45</v>
      </c>
    </row>
    <row r="916" spans="2:13" x14ac:dyDescent="0.35">
      <c r="B916" s="91"/>
      <c r="C916" s="64" t="s">
        <v>228</v>
      </c>
      <c r="D916" s="64"/>
      <c r="E916" s="64"/>
      <c r="F916" s="77">
        <v>89.242999999999995</v>
      </c>
      <c r="G916" s="64"/>
      <c r="H916" s="77">
        <v>89.162999999999997</v>
      </c>
      <c r="I916" s="91"/>
      <c r="J916" s="91"/>
      <c r="K916" s="91"/>
      <c r="L916" s="91"/>
      <c r="M916" s="91"/>
    </row>
    <row r="917" spans="2:13" x14ac:dyDescent="0.35">
      <c r="B917" s="91"/>
      <c r="C917" s="64" t="s">
        <v>229</v>
      </c>
      <c r="D917" s="64"/>
      <c r="E917" s="64"/>
      <c r="F917" s="77"/>
      <c r="G917" s="64"/>
      <c r="H917" s="77"/>
      <c r="I917" s="91"/>
      <c r="J917" s="91"/>
      <c r="K917" s="91"/>
      <c r="L917" s="91"/>
      <c r="M917" s="91"/>
    </row>
    <row r="918" spans="2:13" x14ac:dyDescent="0.35">
      <c r="B918" s="91">
        <v>43</v>
      </c>
      <c r="C918" s="64" t="s">
        <v>222</v>
      </c>
      <c r="D918" s="64" t="s">
        <v>112</v>
      </c>
      <c r="E918" s="64" t="s">
        <v>613</v>
      </c>
      <c r="F918" s="64" t="s">
        <v>614</v>
      </c>
      <c r="G918" s="64" t="s">
        <v>615</v>
      </c>
      <c r="H918" s="64" t="s">
        <v>616</v>
      </c>
      <c r="I918" s="91">
        <v>12.46</v>
      </c>
      <c r="J918" s="91" t="s">
        <v>115</v>
      </c>
      <c r="K918" s="91" t="s">
        <v>300</v>
      </c>
      <c r="L918" s="91">
        <v>3</v>
      </c>
      <c r="M918" s="91">
        <v>45</v>
      </c>
    </row>
    <row r="919" spans="2:13" x14ac:dyDescent="0.35">
      <c r="B919" s="91"/>
      <c r="C919" s="64" t="s">
        <v>228</v>
      </c>
      <c r="D919" s="64"/>
      <c r="E919" s="64"/>
      <c r="F919" s="77">
        <v>89.162999999999997</v>
      </c>
      <c r="G919" s="64"/>
      <c r="H919" s="77">
        <v>89.138000000000005</v>
      </c>
      <c r="I919" s="91"/>
      <c r="J919" s="91"/>
      <c r="K919" s="91"/>
      <c r="L919" s="91"/>
      <c r="M919" s="91"/>
    </row>
    <row r="920" spans="2:13" x14ac:dyDescent="0.35">
      <c r="B920" s="91"/>
      <c r="C920" s="64" t="s">
        <v>229</v>
      </c>
      <c r="D920" s="64"/>
      <c r="E920" s="64"/>
      <c r="F920" s="77"/>
      <c r="G920" s="64"/>
      <c r="H920" s="77"/>
      <c r="I920" s="91"/>
      <c r="J920" s="91"/>
      <c r="K920" s="91"/>
      <c r="L920" s="91"/>
      <c r="M920" s="91"/>
    </row>
    <row r="921" spans="2:13" x14ac:dyDescent="0.35">
      <c r="B921" s="91">
        <v>44</v>
      </c>
      <c r="C921" s="64" t="s">
        <v>222</v>
      </c>
      <c r="D921" s="64" t="s">
        <v>112</v>
      </c>
      <c r="E921" s="64" t="s">
        <v>615</v>
      </c>
      <c r="F921" s="64" t="s">
        <v>616</v>
      </c>
      <c r="G921" s="64" t="s">
        <v>617</v>
      </c>
      <c r="H921" s="64" t="s">
        <v>618</v>
      </c>
      <c r="I921" s="91">
        <v>15.08</v>
      </c>
      <c r="J921" s="91" t="s">
        <v>115</v>
      </c>
      <c r="K921" s="91" t="s">
        <v>300</v>
      </c>
      <c r="L921" s="91">
        <v>3</v>
      </c>
      <c r="M921" s="91">
        <v>45</v>
      </c>
    </row>
    <row r="922" spans="2:13" x14ac:dyDescent="0.35">
      <c r="B922" s="91"/>
      <c r="C922" s="64" t="s">
        <v>228</v>
      </c>
      <c r="D922" s="64"/>
      <c r="E922" s="64"/>
      <c r="F922" s="77">
        <v>89.138000000000005</v>
      </c>
      <c r="G922" s="64"/>
      <c r="H922" s="77">
        <v>89.08</v>
      </c>
      <c r="I922" s="91"/>
      <c r="J922" s="91"/>
      <c r="K922" s="91"/>
      <c r="L922" s="91"/>
      <c r="M922" s="91"/>
    </row>
    <row r="923" spans="2:13" x14ac:dyDescent="0.35">
      <c r="B923" s="91"/>
      <c r="C923" s="64" t="s">
        <v>229</v>
      </c>
      <c r="D923" s="64"/>
      <c r="E923" s="64"/>
      <c r="F923" s="77"/>
      <c r="G923" s="64"/>
      <c r="H923" s="77"/>
      <c r="I923" s="91"/>
      <c r="J923" s="91"/>
      <c r="K923" s="91"/>
      <c r="L923" s="91"/>
      <c r="M923" s="91"/>
    </row>
    <row r="924" spans="2:13" x14ac:dyDescent="0.35">
      <c r="B924" s="91">
        <v>45</v>
      </c>
      <c r="C924" s="64" t="s">
        <v>222</v>
      </c>
      <c r="D924" s="64" t="s">
        <v>112</v>
      </c>
      <c r="E924" s="64" t="s">
        <v>617</v>
      </c>
      <c r="F924" s="64" t="s">
        <v>618</v>
      </c>
      <c r="G924" s="64" t="s">
        <v>619</v>
      </c>
      <c r="H924" s="64" t="s">
        <v>620</v>
      </c>
      <c r="I924" s="91">
        <v>12.11</v>
      </c>
      <c r="J924" s="91" t="s">
        <v>115</v>
      </c>
      <c r="K924" s="91" t="s">
        <v>300</v>
      </c>
      <c r="L924" s="91">
        <v>3</v>
      </c>
      <c r="M924" s="91">
        <v>45</v>
      </c>
    </row>
    <row r="925" spans="2:13" x14ac:dyDescent="0.35">
      <c r="B925" s="91"/>
      <c r="C925" s="64" t="s">
        <v>228</v>
      </c>
      <c r="D925" s="64"/>
      <c r="E925" s="64"/>
      <c r="F925" s="77">
        <v>89.08</v>
      </c>
      <c r="G925" s="64"/>
      <c r="H925" s="77">
        <v>89.021000000000001</v>
      </c>
      <c r="I925" s="91"/>
      <c r="J925" s="91"/>
      <c r="K925" s="91"/>
      <c r="L925" s="91"/>
      <c r="M925" s="91"/>
    </row>
    <row r="926" spans="2:13" x14ac:dyDescent="0.35">
      <c r="B926" s="91"/>
      <c r="C926" s="64" t="s">
        <v>229</v>
      </c>
      <c r="D926" s="64"/>
      <c r="E926" s="64"/>
      <c r="F926" s="77"/>
      <c r="G926" s="64"/>
      <c r="H926" s="77"/>
      <c r="I926" s="91"/>
      <c r="J926" s="91"/>
      <c r="K926" s="91"/>
      <c r="L926" s="91"/>
      <c r="M926" s="91"/>
    </row>
    <row r="927" spans="2:13" x14ac:dyDescent="0.35">
      <c r="B927" s="91">
        <v>46</v>
      </c>
      <c r="C927" s="64" t="s">
        <v>222</v>
      </c>
      <c r="D927" s="64" t="s">
        <v>112</v>
      </c>
      <c r="E927" s="64" t="s">
        <v>619</v>
      </c>
      <c r="F927" s="64" t="s">
        <v>620</v>
      </c>
      <c r="G927" s="64" t="s">
        <v>621</v>
      </c>
      <c r="H927" s="64" t="s">
        <v>622</v>
      </c>
      <c r="I927" s="91">
        <v>10.6</v>
      </c>
      <c r="J927" s="91" t="s">
        <v>115</v>
      </c>
      <c r="K927" s="91" t="s">
        <v>300</v>
      </c>
      <c r="L927" s="91">
        <v>3</v>
      </c>
      <c r="M927" s="91">
        <v>45</v>
      </c>
    </row>
    <row r="928" spans="2:13" x14ac:dyDescent="0.35">
      <c r="B928" s="91"/>
      <c r="C928" s="64" t="s">
        <v>228</v>
      </c>
      <c r="D928" s="64"/>
      <c r="E928" s="64"/>
      <c r="F928" s="77">
        <v>89.021000000000001</v>
      </c>
      <c r="G928" s="64"/>
      <c r="H928" s="77">
        <v>88.935000000000002</v>
      </c>
      <c r="I928" s="91"/>
      <c r="J928" s="91"/>
      <c r="K928" s="91"/>
      <c r="L928" s="91"/>
      <c r="M928" s="91"/>
    </row>
    <row r="929" spans="2:13" x14ac:dyDescent="0.35">
      <c r="B929" s="91"/>
      <c r="C929" s="64" t="s">
        <v>229</v>
      </c>
      <c r="D929" s="64"/>
      <c r="E929" s="64"/>
      <c r="F929" s="77"/>
      <c r="G929" s="64"/>
      <c r="H929" s="77"/>
      <c r="I929" s="91"/>
      <c r="J929" s="91"/>
      <c r="K929" s="91"/>
      <c r="L929" s="91"/>
      <c r="M929" s="91"/>
    </row>
    <row r="930" spans="2:13" x14ac:dyDescent="0.35">
      <c r="B930" s="91">
        <v>47</v>
      </c>
      <c r="C930" s="64" t="s">
        <v>222</v>
      </c>
      <c r="D930" s="64" t="s">
        <v>112</v>
      </c>
      <c r="E930" s="64" t="s">
        <v>621</v>
      </c>
      <c r="F930" s="64" t="s">
        <v>622</v>
      </c>
      <c r="G930" s="64" t="s">
        <v>623</v>
      </c>
      <c r="H930" s="64" t="s">
        <v>624</v>
      </c>
      <c r="I930" s="91">
        <v>11.31</v>
      </c>
      <c r="J930" s="91" t="s">
        <v>115</v>
      </c>
      <c r="K930" s="91" t="s">
        <v>300</v>
      </c>
      <c r="L930" s="91">
        <v>5</v>
      </c>
      <c r="M930" s="91">
        <v>43</v>
      </c>
    </row>
    <row r="931" spans="2:13" x14ac:dyDescent="0.35">
      <c r="B931" s="91"/>
      <c r="C931" s="64" t="s">
        <v>228</v>
      </c>
      <c r="D931" s="64"/>
      <c r="E931" s="64"/>
      <c r="F931" s="77">
        <v>88.935000000000002</v>
      </c>
      <c r="G931" s="64"/>
      <c r="H931" s="77">
        <v>89.546000000000006</v>
      </c>
      <c r="I931" s="91"/>
      <c r="J931" s="91"/>
      <c r="K931" s="91"/>
      <c r="L931" s="91"/>
      <c r="M931" s="91"/>
    </row>
    <row r="932" spans="2:13" x14ac:dyDescent="0.35">
      <c r="B932" s="91"/>
      <c r="C932" s="64" t="s">
        <v>229</v>
      </c>
      <c r="D932" s="64"/>
      <c r="E932" s="64"/>
      <c r="F932" s="77"/>
      <c r="G932" s="64"/>
      <c r="H932" s="77"/>
      <c r="I932" s="91"/>
      <c r="J932" s="91"/>
      <c r="K932" s="91"/>
      <c r="L932" s="91"/>
      <c r="M932" s="91"/>
    </row>
    <row r="933" spans="2:13" x14ac:dyDescent="0.35">
      <c r="B933" s="91">
        <v>48</v>
      </c>
      <c r="C933" s="64" t="s">
        <v>222</v>
      </c>
      <c r="D933" s="64" t="s">
        <v>112</v>
      </c>
      <c r="E933" s="64" t="s">
        <v>623</v>
      </c>
      <c r="F933" s="64" t="s">
        <v>624</v>
      </c>
      <c r="G933" s="64" t="s">
        <v>625</v>
      </c>
      <c r="H933" s="64" t="s">
        <v>626</v>
      </c>
      <c r="I933" s="91">
        <v>7.7</v>
      </c>
      <c r="J933" s="91" t="s">
        <v>115</v>
      </c>
      <c r="K933" s="91" t="s">
        <v>300</v>
      </c>
      <c r="L933" s="91">
        <v>5</v>
      </c>
      <c r="M933" s="91">
        <v>43</v>
      </c>
    </row>
    <row r="934" spans="2:13" x14ac:dyDescent="0.35">
      <c r="B934" s="91"/>
      <c r="C934" s="64" t="s">
        <v>228</v>
      </c>
      <c r="D934" s="64"/>
      <c r="E934" s="64"/>
      <c r="F934" s="77">
        <v>89.546000000000006</v>
      </c>
      <c r="G934" s="64"/>
      <c r="H934" s="77">
        <v>89.620999999999995</v>
      </c>
      <c r="I934" s="91"/>
      <c r="J934" s="91"/>
      <c r="K934" s="91"/>
      <c r="L934" s="91"/>
      <c r="M934" s="91"/>
    </row>
    <row r="935" spans="2:13" x14ac:dyDescent="0.35">
      <c r="B935" s="91"/>
      <c r="C935" s="64" t="s">
        <v>229</v>
      </c>
      <c r="D935" s="64"/>
      <c r="E935" s="64"/>
      <c r="F935" s="77"/>
      <c r="G935" s="64"/>
      <c r="H935" s="77"/>
      <c r="I935" s="91"/>
      <c r="J935" s="91"/>
      <c r="K935" s="91"/>
      <c r="L935" s="91"/>
      <c r="M935" s="91"/>
    </row>
    <row r="936" spans="2:13" x14ac:dyDescent="0.35">
      <c r="B936" s="91">
        <v>49</v>
      </c>
      <c r="C936" s="64" t="s">
        <v>222</v>
      </c>
      <c r="D936" s="64" t="s">
        <v>112</v>
      </c>
      <c r="E936" s="64" t="s">
        <v>625</v>
      </c>
      <c r="F936" s="64" t="s">
        <v>626</v>
      </c>
      <c r="G936" s="64" t="s">
        <v>627</v>
      </c>
      <c r="H936" s="64" t="s">
        <v>628</v>
      </c>
      <c r="I936" s="91">
        <v>18.8</v>
      </c>
      <c r="J936" s="91" t="s">
        <v>115</v>
      </c>
      <c r="K936" s="91" t="s">
        <v>300</v>
      </c>
      <c r="L936" s="91">
        <v>5</v>
      </c>
      <c r="M936" s="91">
        <v>43</v>
      </c>
    </row>
    <row r="937" spans="2:13" x14ac:dyDescent="0.35">
      <c r="B937" s="91"/>
      <c r="C937" s="64" t="s">
        <v>228</v>
      </c>
      <c r="D937" s="64"/>
      <c r="E937" s="64"/>
      <c r="F937" s="77">
        <v>89.620999999999995</v>
      </c>
      <c r="G937" s="64"/>
      <c r="H937" s="77">
        <v>89.622</v>
      </c>
      <c r="I937" s="91"/>
      <c r="J937" s="91"/>
      <c r="K937" s="91"/>
      <c r="L937" s="91"/>
      <c r="M937" s="91"/>
    </row>
    <row r="938" spans="2:13" x14ac:dyDescent="0.35">
      <c r="B938" s="91"/>
      <c r="C938" s="64" t="s">
        <v>229</v>
      </c>
      <c r="D938" s="64"/>
      <c r="E938" s="64"/>
      <c r="F938" s="77"/>
      <c r="G938" s="64"/>
      <c r="H938" s="77"/>
      <c r="I938" s="91"/>
      <c r="J938" s="91"/>
      <c r="K938" s="91"/>
      <c r="L938" s="91"/>
      <c r="M938" s="91"/>
    </row>
    <row r="939" spans="2:13" x14ac:dyDescent="0.35">
      <c r="B939" s="91">
        <v>50</v>
      </c>
      <c r="C939" s="64" t="s">
        <v>222</v>
      </c>
      <c r="D939" s="64" t="s">
        <v>112</v>
      </c>
      <c r="E939" s="64" t="s">
        <v>627</v>
      </c>
      <c r="F939" s="64" t="s">
        <v>628</v>
      </c>
      <c r="G939" s="64" t="s">
        <v>629</v>
      </c>
      <c r="H939" s="64" t="s">
        <v>630</v>
      </c>
      <c r="I939" s="91">
        <v>9.8000000000000007</v>
      </c>
      <c r="J939" s="91" t="s">
        <v>115</v>
      </c>
      <c r="K939" s="91" t="s">
        <v>300</v>
      </c>
      <c r="L939" s="91">
        <v>5</v>
      </c>
      <c r="M939" s="91">
        <v>43</v>
      </c>
    </row>
    <row r="940" spans="2:13" x14ac:dyDescent="0.35">
      <c r="B940" s="91"/>
      <c r="C940" s="64" t="s">
        <v>228</v>
      </c>
      <c r="D940" s="64"/>
      <c r="E940" s="64"/>
      <c r="F940" s="77">
        <v>89.622</v>
      </c>
      <c r="G940" s="64"/>
      <c r="H940" s="77">
        <v>89.673000000000002</v>
      </c>
      <c r="I940" s="91"/>
      <c r="J940" s="91"/>
      <c r="K940" s="91"/>
      <c r="L940" s="91"/>
      <c r="M940" s="91"/>
    </row>
    <row r="941" spans="2:13" x14ac:dyDescent="0.35">
      <c r="B941" s="91"/>
      <c r="C941" s="64" t="s">
        <v>229</v>
      </c>
      <c r="D941" s="64"/>
      <c r="E941" s="64"/>
      <c r="F941" s="77"/>
      <c r="G941" s="64"/>
      <c r="H941" s="77"/>
      <c r="I941" s="91"/>
      <c r="J941" s="91"/>
      <c r="K941" s="91"/>
      <c r="L941" s="91"/>
      <c r="M941" s="91"/>
    </row>
    <row r="942" spans="2:13" x14ac:dyDescent="0.35">
      <c r="B942" s="91">
        <v>51</v>
      </c>
      <c r="C942" s="64" t="s">
        <v>222</v>
      </c>
      <c r="D942" s="64" t="s">
        <v>112</v>
      </c>
      <c r="E942" s="64" t="s">
        <v>629</v>
      </c>
      <c r="F942" s="64" t="s">
        <v>630</v>
      </c>
      <c r="G942" s="64"/>
      <c r="H942" s="92"/>
      <c r="I942" s="92"/>
      <c r="J942" s="91"/>
      <c r="K942" s="92"/>
      <c r="L942" s="91"/>
      <c r="M942" s="92"/>
    </row>
    <row r="943" spans="2:13" x14ac:dyDescent="0.35">
      <c r="B943" s="91"/>
      <c r="C943" s="64" t="s">
        <v>228</v>
      </c>
      <c r="D943" s="64"/>
      <c r="E943" s="64"/>
      <c r="F943" s="77">
        <v>89.673000000000002</v>
      </c>
      <c r="G943" s="64"/>
      <c r="H943" s="92"/>
      <c r="I943" s="92"/>
      <c r="J943" s="91"/>
      <c r="K943" s="92"/>
      <c r="L943" s="91"/>
      <c r="M943" s="92"/>
    </row>
    <row r="944" spans="2:13" x14ac:dyDescent="0.35">
      <c r="B944" s="91"/>
      <c r="C944" s="64" t="s">
        <v>229</v>
      </c>
      <c r="D944" s="64"/>
      <c r="E944" s="64"/>
      <c r="F944" s="77"/>
      <c r="G944" s="64"/>
      <c r="H944" s="92"/>
      <c r="I944" s="92"/>
      <c r="J944" s="91"/>
      <c r="K944" s="92"/>
      <c r="L944" s="91"/>
      <c r="M944" s="92"/>
    </row>
  </sheetData>
  <mergeCells count="1507">
    <mergeCell ref="B106:B107"/>
    <mergeCell ref="C106:C107"/>
    <mergeCell ref="I106:I107"/>
    <mergeCell ref="J106:J107"/>
    <mergeCell ref="K106:K107"/>
    <mergeCell ref="M114:M116"/>
    <mergeCell ref="B114:B116"/>
    <mergeCell ref="I114:I116"/>
    <mergeCell ref="J114:J116"/>
    <mergeCell ref="K114:K116"/>
    <mergeCell ref="J108:J110"/>
    <mergeCell ref="K108:K110"/>
    <mergeCell ref="L108:L110"/>
    <mergeCell ref="M126:M128"/>
    <mergeCell ref="B129:B131"/>
    <mergeCell ref="I129:I131"/>
    <mergeCell ref="J129:J131"/>
    <mergeCell ref="K129:K131"/>
    <mergeCell ref="L129:L131"/>
    <mergeCell ref="M129:M131"/>
    <mergeCell ref="L114:L116"/>
    <mergeCell ref="M108:M110"/>
    <mergeCell ref="B111:B113"/>
    <mergeCell ref="I111:I113"/>
    <mergeCell ref="J111:J113"/>
    <mergeCell ref="K111:K113"/>
    <mergeCell ref="L111:L113"/>
    <mergeCell ref="M111:M113"/>
    <mergeCell ref="B108:B110"/>
    <mergeCell ref="I108:I110"/>
    <mergeCell ref="B117:B119"/>
    <mergeCell ref="I117:I119"/>
    <mergeCell ref="J117:J119"/>
    <mergeCell ref="K117:K119"/>
    <mergeCell ref="L117:L119"/>
    <mergeCell ref="M117:M119"/>
    <mergeCell ref="L123:L125"/>
    <mergeCell ref="M123:M125"/>
    <mergeCell ref="B120:B122"/>
    <mergeCell ref="I120:I122"/>
    <mergeCell ref="J120:J122"/>
    <mergeCell ref="K120:K122"/>
    <mergeCell ref="L120:L122"/>
    <mergeCell ref="B126:B128"/>
    <mergeCell ref="I126:I128"/>
    <mergeCell ref="J126:J128"/>
    <mergeCell ref="K126:K128"/>
    <mergeCell ref="L126:L128"/>
    <mergeCell ref="M120:M122"/>
    <mergeCell ref="B123:B125"/>
    <mergeCell ref="I123:I125"/>
    <mergeCell ref="J123:J125"/>
    <mergeCell ref="K123:K125"/>
    <mergeCell ref="I132:I134"/>
    <mergeCell ref="J132:J134"/>
    <mergeCell ref="K132:K134"/>
    <mergeCell ref="L132:L134"/>
    <mergeCell ref="M150:M152"/>
    <mergeCell ref="B153:B155"/>
    <mergeCell ref="I153:I155"/>
    <mergeCell ref="J153:J155"/>
    <mergeCell ref="K153:K155"/>
    <mergeCell ref="L153:L155"/>
    <mergeCell ref="K138:K140"/>
    <mergeCell ref="L138:L140"/>
    <mergeCell ref="M132:M134"/>
    <mergeCell ref="B135:B137"/>
    <mergeCell ref="I135:I137"/>
    <mergeCell ref="J135:J137"/>
    <mergeCell ref="K135:K137"/>
    <mergeCell ref="L135:L137"/>
    <mergeCell ref="M135:M137"/>
    <mergeCell ref="B132:B134"/>
    <mergeCell ref="M138:M140"/>
    <mergeCell ref="B141:B143"/>
    <mergeCell ref="I141:I143"/>
    <mergeCell ref="J141:J143"/>
    <mergeCell ref="K141:K143"/>
    <mergeCell ref="L141:L143"/>
    <mergeCell ref="M141:M143"/>
    <mergeCell ref="B138:B140"/>
    <mergeCell ref="I138:I140"/>
    <mergeCell ref="J138:J140"/>
    <mergeCell ref="B165:B167"/>
    <mergeCell ref="I165:I167"/>
    <mergeCell ref="J165:J167"/>
    <mergeCell ref="K165:K167"/>
    <mergeCell ref="L165:L167"/>
    <mergeCell ref="M165:M167"/>
    <mergeCell ref="B162:B164"/>
    <mergeCell ref="M144:M146"/>
    <mergeCell ref="B147:B149"/>
    <mergeCell ref="I147:I149"/>
    <mergeCell ref="J147:J149"/>
    <mergeCell ref="K147:K149"/>
    <mergeCell ref="L147:L149"/>
    <mergeCell ref="M147:M149"/>
    <mergeCell ref="B144:B146"/>
    <mergeCell ref="I144:I146"/>
    <mergeCell ref="J144:J146"/>
    <mergeCell ref="M153:M155"/>
    <mergeCell ref="B150:B152"/>
    <mergeCell ref="I150:I152"/>
    <mergeCell ref="J150:J152"/>
    <mergeCell ref="K150:K152"/>
    <mergeCell ref="L150:L152"/>
    <mergeCell ref="M159:M161"/>
    <mergeCell ref="B156:B158"/>
    <mergeCell ref="I156:I158"/>
    <mergeCell ref="J156:J158"/>
    <mergeCell ref="K156:K158"/>
    <mergeCell ref="L156:L158"/>
    <mergeCell ref="I162:I164"/>
    <mergeCell ref="J162:J164"/>
    <mergeCell ref="K162:K164"/>
    <mergeCell ref="L162:L164"/>
    <mergeCell ref="M156:M158"/>
    <mergeCell ref="B159:B161"/>
    <mergeCell ref="I159:I161"/>
    <mergeCell ref="J159:J161"/>
    <mergeCell ref="K159:K161"/>
    <mergeCell ref="L159:L161"/>
    <mergeCell ref="K144:K146"/>
    <mergeCell ref="L144:L146"/>
    <mergeCell ref="M162:M164"/>
    <mergeCell ref="I168:I170"/>
    <mergeCell ref="J168:J170"/>
    <mergeCell ref="K168:K170"/>
    <mergeCell ref="L168:L170"/>
    <mergeCell ref="M186:M188"/>
    <mergeCell ref="B189:B191"/>
    <mergeCell ref="I189:I191"/>
    <mergeCell ref="J189:J191"/>
    <mergeCell ref="K189:K191"/>
    <mergeCell ref="L189:L191"/>
    <mergeCell ref="K174:K176"/>
    <mergeCell ref="L174:L176"/>
    <mergeCell ref="M168:M170"/>
    <mergeCell ref="B171:B173"/>
    <mergeCell ref="I171:I173"/>
    <mergeCell ref="J171:J173"/>
    <mergeCell ref="K171:K173"/>
    <mergeCell ref="L171:L173"/>
    <mergeCell ref="M171:M173"/>
    <mergeCell ref="B168:B170"/>
    <mergeCell ref="M174:M176"/>
    <mergeCell ref="B177:B179"/>
    <mergeCell ref="I177:I179"/>
    <mergeCell ref="J177:J179"/>
    <mergeCell ref="K177:K179"/>
    <mergeCell ref="L177:L179"/>
    <mergeCell ref="M177:M179"/>
    <mergeCell ref="B174:B176"/>
    <mergeCell ref="I174:I176"/>
    <mergeCell ref="J174:J176"/>
    <mergeCell ref="B201:B203"/>
    <mergeCell ref="I201:I203"/>
    <mergeCell ref="J201:J203"/>
    <mergeCell ref="K201:K203"/>
    <mergeCell ref="L201:L203"/>
    <mergeCell ref="M201:M203"/>
    <mergeCell ref="B198:B200"/>
    <mergeCell ref="M180:M182"/>
    <mergeCell ref="B183:B185"/>
    <mergeCell ref="I183:I185"/>
    <mergeCell ref="J183:J185"/>
    <mergeCell ref="K183:K185"/>
    <mergeCell ref="L183:L185"/>
    <mergeCell ref="M183:M185"/>
    <mergeCell ref="B180:B182"/>
    <mergeCell ref="I180:I182"/>
    <mergeCell ref="J180:J182"/>
    <mergeCell ref="M189:M191"/>
    <mergeCell ref="B186:B188"/>
    <mergeCell ref="I186:I188"/>
    <mergeCell ref="J186:J188"/>
    <mergeCell ref="K186:K188"/>
    <mergeCell ref="L186:L188"/>
    <mergeCell ref="M195:M197"/>
    <mergeCell ref="B192:B194"/>
    <mergeCell ref="I192:I194"/>
    <mergeCell ref="J192:J194"/>
    <mergeCell ref="K192:K194"/>
    <mergeCell ref="L192:L194"/>
    <mergeCell ref="I198:I200"/>
    <mergeCell ref="J198:J200"/>
    <mergeCell ref="K198:K200"/>
    <mergeCell ref="L198:L200"/>
    <mergeCell ref="M192:M194"/>
    <mergeCell ref="B195:B197"/>
    <mergeCell ref="I195:I197"/>
    <mergeCell ref="J195:J197"/>
    <mergeCell ref="K195:K197"/>
    <mergeCell ref="L195:L197"/>
    <mergeCell ref="K180:K182"/>
    <mergeCell ref="L180:L182"/>
    <mergeCell ref="M198:M200"/>
    <mergeCell ref="I204:I206"/>
    <mergeCell ref="J204:J206"/>
    <mergeCell ref="K204:K206"/>
    <mergeCell ref="L204:L206"/>
    <mergeCell ref="M222:M224"/>
    <mergeCell ref="B225:B227"/>
    <mergeCell ref="I225:I227"/>
    <mergeCell ref="J225:J227"/>
    <mergeCell ref="K225:K227"/>
    <mergeCell ref="L225:L227"/>
    <mergeCell ref="K210:K212"/>
    <mergeCell ref="L210:L212"/>
    <mergeCell ref="M204:M206"/>
    <mergeCell ref="B207:B209"/>
    <mergeCell ref="I207:I209"/>
    <mergeCell ref="J207:J209"/>
    <mergeCell ref="K207:K209"/>
    <mergeCell ref="L207:L209"/>
    <mergeCell ref="M207:M209"/>
    <mergeCell ref="B204:B206"/>
    <mergeCell ref="M210:M212"/>
    <mergeCell ref="B213:B215"/>
    <mergeCell ref="I213:I215"/>
    <mergeCell ref="J213:J215"/>
    <mergeCell ref="K213:K215"/>
    <mergeCell ref="L213:L215"/>
    <mergeCell ref="M213:M215"/>
    <mergeCell ref="B210:B212"/>
    <mergeCell ref="I210:I212"/>
    <mergeCell ref="J210:J212"/>
    <mergeCell ref="B237:B239"/>
    <mergeCell ref="I237:I239"/>
    <mergeCell ref="J237:J239"/>
    <mergeCell ref="K237:K239"/>
    <mergeCell ref="L237:L239"/>
    <mergeCell ref="M237:M239"/>
    <mergeCell ref="B234:B236"/>
    <mergeCell ref="M216:M218"/>
    <mergeCell ref="B219:B221"/>
    <mergeCell ref="I219:I221"/>
    <mergeCell ref="J219:J221"/>
    <mergeCell ref="K219:K221"/>
    <mergeCell ref="L219:L221"/>
    <mergeCell ref="M219:M221"/>
    <mergeCell ref="B216:B218"/>
    <mergeCell ref="I216:I218"/>
    <mergeCell ref="J216:J218"/>
    <mergeCell ref="M225:M227"/>
    <mergeCell ref="B222:B224"/>
    <mergeCell ref="I222:I224"/>
    <mergeCell ref="J222:J224"/>
    <mergeCell ref="K222:K224"/>
    <mergeCell ref="L222:L224"/>
    <mergeCell ref="M231:M233"/>
    <mergeCell ref="B228:B230"/>
    <mergeCell ref="I228:I230"/>
    <mergeCell ref="J228:J230"/>
    <mergeCell ref="K228:K230"/>
    <mergeCell ref="L228:L230"/>
    <mergeCell ref="I234:I236"/>
    <mergeCell ref="J234:J236"/>
    <mergeCell ref="K234:K236"/>
    <mergeCell ref="L234:L236"/>
    <mergeCell ref="M228:M230"/>
    <mergeCell ref="B231:B233"/>
    <mergeCell ref="I231:I233"/>
    <mergeCell ref="J231:J233"/>
    <mergeCell ref="K231:K233"/>
    <mergeCell ref="L231:L233"/>
    <mergeCell ref="K216:K218"/>
    <mergeCell ref="L216:L218"/>
    <mergeCell ref="M234:M236"/>
    <mergeCell ref="I240:I242"/>
    <mergeCell ref="J240:J242"/>
    <mergeCell ref="K240:K242"/>
    <mergeCell ref="L240:L242"/>
    <mergeCell ref="M258:M260"/>
    <mergeCell ref="B261:B263"/>
    <mergeCell ref="I261:I263"/>
    <mergeCell ref="J261:J263"/>
    <mergeCell ref="K261:K263"/>
    <mergeCell ref="L261:L263"/>
    <mergeCell ref="K246:K248"/>
    <mergeCell ref="L246:L248"/>
    <mergeCell ref="M240:M242"/>
    <mergeCell ref="B243:B245"/>
    <mergeCell ref="I243:I245"/>
    <mergeCell ref="J243:J245"/>
    <mergeCell ref="K243:K245"/>
    <mergeCell ref="L243:L245"/>
    <mergeCell ref="M243:M245"/>
    <mergeCell ref="B240:B242"/>
    <mergeCell ref="M246:M248"/>
    <mergeCell ref="B249:B251"/>
    <mergeCell ref="I249:I251"/>
    <mergeCell ref="J249:J251"/>
    <mergeCell ref="K249:K251"/>
    <mergeCell ref="L249:L251"/>
    <mergeCell ref="M249:M251"/>
    <mergeCell ref="B246:B248"/>
    <mergeCell ref="I246:I248"/>
    <mergeCell ref="J246:J248"/>
    <mergeCell ref="B273:B275"/>
    <mergeCell ref="I273:I275"/>
    <mergeCell ref="J273:J275"/>
    <mergeCell ref="K273:K275"/>
    <mergeCell ref="L273:L275"/>
    <mergeCell ref="M273:M275"/>
    <mergeCell ref="B270:B272"/>
    <mergeCell ref="M252:M254"/>
    <mergeCell ref="B255:B257"/>
    <mergeCell ref="I255:I257"/>
    <mergeCell ref="J255:J257"/>
    <mergeCell ref="K255:K257"/>
    <mergeCell ref="L255:L257"/>
    <mergeCell ref="M255:M257"/>
    <mergeCell ref="B252:B254"/>
    <mergeCell ref="I252:I254"/>
    <mergeCell ref="J252:J254"/>
    <mergeCell ref="M261:M263"/>
    <mergeCell ref="B258:B260"/>
    <mergeCell ref="I258:I260"/>
    <mergeCell ref="J258:J260"/>
    <mergeCell ref="K258:K260"/>
    <mergeCell ref="L258:L260"/>
    <mergeCell ref="M267:M269"/>
    <mergeCell ref="B264:B266"/>
    <mergeCell ref="I264:I266"/>
    <mergeCell ref="J264:J266"/>
    <mergeCell ref="K264:K266"/>
    <mergeCell ref="L264:L266"/>
    <mergeCell ref="I270:I272"/>
    <mergeCell ref="J270:J272"/>
    <mergeCell ref="K270:K272"/>
    <mergeCell ref="L270:L272"/>
    <mergeCell ref="M264:M266"/>
    <mergeCell ref="B267:B269"/>
    <mergeCell ref="I267:I269"/>
    <mergeCell ref="J267:J269"/>
    <mergeCell ref="K267:K269"/>
    <mergeCell ref="L267:L269"/>
    <mergeCell ref="K252:K254"/>
    <mergeCell ref="L252:L254"/>
    <mergeCell ref="M270:M272"/>
    <mergeCell ref="I276:I278"/>
    <mergeCell ref="J276:J278"/>
    <mergeCell ref="K276:K278"/>
    <mergeCell ref="L276:L278"/>
    <mergeCell ref="M294:M296"/>
    <mergeCell ref="B297:B299"/>
    <mergeCell ref="I297:I299"/>
    <mergeCell ref="J297:J299"/>
    <mergeCell ref="K297:K299"/>
    <mergeCell ref="L297:L299"/>
    <mergeCell ref="K282:K284"/>
    <mergeCell ref="L282:L284"/>
    <mergeCell ref="M276:M278"/>
    <mergeCell ref="B279:B281"/>
    <mergeCell ref="I279:I281"/>
    <mergeCell ref="J279:J281"/>
    <mergeCell ref="K279:K281"/>
    <mergeCell ref="L279:L281"/>
    <mergeCell ref="M279:M281"/>
    <mergeCell ref="B276:B278"/>
    <mergeCell ref="M282:M284"/>
    <mergeCell ref="B285:B287"/>
    <mergeCell ref="I285:I287"/>
    <mergeCell ref="J285:J287"/>
    <mergeCell ref="K285:K287"/>
    <mergeCell ref="L285:L287"/>
    <mergeCell ref="M285:M287"/>
    <mergeCell ref="B282:B284"/>
    <mergeCell ref="I282:I284"/>
    <mergeCell ref="J282:J284"/>
    <mergeCell ref="K288:K290"/>
    <mergeCell ref="L288:L290"/>
    <mergeCell ref="M306:M308"/>
    <mergeCell ref="B309:B311"/>
    <mergeCell ref="I309:I311"/>
    <mergeCell ref="J309:J311"/>
    <mergeCell ref="K309:K311"/>
    <mergeCell ref="L309:L311"/>
    <mergeCell ref="M309:M311"/>
    <mergeCell ref="B306:B308"/>
    <mergeCell ref="M288:M290"/>
    <mergeCell ref="B291:B293"/>
    <mergeCell ref="I291:I293"/>
    <mergeCell ref="J291:J293"/>
    <mergeCell ref="K291:K293"/>
    <mergeCell ref="L291:L293"/>
    <mergeCell ref="M291:M293"/>
    <mergeCell ref="B288:B290"/>
    <mergeCell ref="I288:I290"/>
    <mergeCell ref="J288:J290"/>
    <mergeCell ref="M297:M299"/>
    <mergeCell ref="B294:B296"/>
    <mergeCell ref="I294:I296"/>
    <mergeCell ref="J294:J296"/>
    <mergeCell ref="K294:K296"/>
    <mergeCell ref="L294:L296"/>
    <mergeCell ref="B328:B330"/>
    <mergeCell ref="J328:J330"/>
    <mergeCell ref="K328:K330"/>
    <mergeCell ref="L328:L330"/>
    <mergeCell ref="M328:M330"/>
    <mergeCell ref="B325:B327"/>
    <mergeCell ref="J325:J327"/>
    <mergeCell ref="K325:K327"/>
    <mergeCell ref="L325:L327"/>
    <mergeCell ref="M325:M327"/>
    <mergeCell ref="M303:M305"/>
    <mergeCell ref="B300:B302"/>
    <mergeCell ref="I300:I302"/>
    <mergeCell ref="J300:J302"/>
    <mergeCell ref="K300:K302"/>
    <mergeCell ref="L300:L302"/>
    <mergeCell ref="I306:I308"/>
    <mergeCell ref="J306:J308"/>
    <mergeCell ref="K306:K308"/>
    <mergeCell ref="L306:L308"/>
    <mergeCell ref="M300:M302"/>
    <mergeCell ref="B303:B305"/>
    <mergeCell ref="I303:I305"/>
    <mergeCell ref="J303:J305"/>
    <mergeCell ref="K303:K305"/>
    <mergeCell ref="L303:L305"/>
    <mergeCell ref="L315:L317"/>
    <mergeCell ref="M315:M317"/>
    <mergeCell ref="B312:B314"/>
    <mergeCell ref="I312:I314"/>
    <mergeCell ref="J312:J314"/>
    <mergeCell ref="K312:K314"/>
    <mergeCell ref="L312:L314"/>
    <mergeCell ref="B323:B324"/>
    <mergeCell ref="C323:C324"/>
    <mergeCell ref="I323:I324"/>
    <mergeCell ref="J323:J324"/>
    <mergeCell ref="K323:K324"/>
    <mergeCell ref="M312:M314"/>
    <mergeCell ref="B315:B317"/>
    <mergeCell ref="I315:I317"/>
    <mergeCell ref="J315:J317"/>
    <mergeCell ref="K315:K317"/>
    <mergeCell ref="B334:B336"/>
    <mergeCell ref="J334:J336"/>
    <mergeCell ref="K334:K336"/>
    <mergeCell ref="L334:L336"/>
    <mergeCell ref="M334:M336"/>
    <mergeCell ref="B331:B333"/>
    <mergeCell ref="J331:J333"/>
    <mergeCell ref="K331:K333"/>
    <mergeCell ref="L331:L333"/>
    <mergeCell ref="M331:M333"/>
    <mergeCell ref="B340:B342"/>
    <mergeCell ref="J340:J342"/>
    <mergeCell ref="K340:K342"/>
    <mergeCell ref="L340:L342"/>
    <mergeCell ref="M340:M342"/>
    <mergeCell ref="B337:B339"/>
    <mergeCell ref="J337:J339"/>
    <mergeCell ref="K337:K339"/>
    <mergeCell ref="L337:L339"/>
    <mergeCell ref="M337:M339"/>
    <mergeCell ref="B346:B348"/>
    <mergeCell ref="J346:J348"/>
    <mergeCell ref="K346:K348"/>
    <mergeCell ref="L346:L348"/>
    <mergeCell ref="M346:M348"/>
    <mergeCell ref="B343:B345"/>
    <mergeCell ref="J343:J345"/>
    <mergeCell ref="K343:K345"/>
    <mergeCell ref="L343:L345"/>
    <mergeCell ref="M343:M345"/>
    <mergeCell ref="B352:B354"/>
    <mergeCell ref="J352:J354"/>
    <mergeCell ref="K352:K354"/>
    <mergeCell ref="L352:L354"/>
    <mergeCell ref="M352:M354"/>
    <mergeCell ref="B349:B351"/>
    <mergeCell ref="J349:J351"/>
    <mergeCell ref="K349:K351"/>
    <mergeCell ref="L349:L351"/>
    <mergeCell ref="M349:M351"/>
    <mergeCell ref="B358:B360"/>
    <mergeCell ref="J358:J360"/>
    <mergeCell ref="K358:K360"/>
    <mergeCell ref="L358:L360"/>
    <mergeCell ref="M358:M360"/>
    <mergeCell ref="B355:B357"/>
    <mergeCell ref="J355:J357"/>
    <mergeCell ref="K355:K357"/>
    <mergeCell ref="L355:L357"/>
    <mergeCell ref="M355:M357"/>
    <mergeCell ref="B364:B366"/>
    <mergeCell ref="J364:J366"/>
    <mergeCell ref="K364:K366"/>
    <mergeCell ref="L364:L366"/>
    <mergeCell ref="M364:M366"/>
    <mergeCell ref="B361:B363"/>
    <mergeCell ref="J361:J363"/>
    <mergeCell ref="K361:K363"/>
    <mergeCell ref="L361:L363"/>
    <mergeCell ref="M361:M363"/>
    <mergeCell ref="B370:B372"/>
    <mergeCell ref="J370:J372"/>
    <mergeCell ref="K370:K372"/>
    <mergeCell ref="L370:L372"/>
    <mergeCell ref="M370:M372"/>
    <mergeCell ref="B367:B369"/>
    <mergeCell ref="J367:J369"/>
    <mergeCell ref="K367:K369"/>
    <mergeCell ref="L367:L369"/>
    <mergeCell ref="M367:M369"/>
    <mergeCell ref="B376:B378"/>
    <mergeCell ref="J376:J378"/>
    <mergeCell ref="K376:K378"/>
    <mergeCell ref="L376:L378"/>
    <mergeCell ref="M376:M378"/>
    <mergeCell ref="B373:B375"/>
    <mergeCell ref="J373:J375"/>
    <mergeCell ref="K373:K375"/>
    <mergeCell ref="L373:L375"/>
    <mergeCell ref="M373:M375"/>
    <mergeCell ref="B382:B384"/>
    <mergeCell ref="J382:J384"/>
    <mergeCell ref="K382:K384"/>
    <mergeCell ref="L382:L384"/>
    <mergeCell ref="M382:M384"/>
    <mergeCell ref="B379:B381"/>
    <mergeCell ref="J379:J381"/>
    <mergeCell ref="K379:K381"/>
    <mergeCell ref="L379:L381"/>
    <mergeCell ref="M379:M381"/>
    <mergeCell ref="B388:B390"/>
    <mergeCell ref="J388:J390"/>
    <mergeCell ref="K388:K390"/>
    <mergeCell ref="L388:L390"/>
    <mergeCell ref="M388:M390"/>
    <mergeCell ref="B385:B387"/>
    <mergeCell ref="J385:J387"/>
    <mergeCell ref="K385:K387"/>
    <mergeCell ref="L385:L387"/>
    <mergeCell ref="M385:M387"/>
    <mergeCell ref="B394:B396"/>
    <mergeCell ref="J394:J396"/>
    <mergeCell ref="K394:K396"/>
    <mergeCell ref="L394:L396"/>
    <mergeCell ref="M394:M396"/>
    <mergeCell ref="B391:B393"/>
    <mergeCell ref="J391:J393"/>
    <mergeCell ref="K391:K393"/>
    <mergeCell ref="L391:L393"/>
    <mergeCell ref="M391:M393"/>
    <mergeCell ref="B400:B402"/>
    <mergeCell ref="J400:J402"/>
    <mergeCell ref="K400:K402"/>
    <mergeCell ref="L400:L402"/>
    <mergeCell ref="M400:M402"/>
    <mergeCell ref="B397:B399"/>
    <mergeCell ref="J397:J399"/>
    <mergeCell ref="K397:K399"/>
    <mergeCell ref="L397:L399"/>
    <mergeCell ref="M397:M399"/>
    <mergeCell ref="B406:B408"/>
    <mergeCell ref="J406:J408"/>
    <mergeCell ref="K406:K408"/>
    <mergeCell ref="L406:L408"/>
    <mergeCell ref="M406:M408"/>
    <mergeCell ref="B403:B405"/>
    <mergeCell ref="J403:J405"/>
    <mergeCell ref="K403:K405"/>
    <mergeCell ref="L403:L405"/>
    <mergeCell ref="M403:M405"/>
    <mergeCell ref="B412:B414"/>
    <mergeCell ref="J412:J414"/>
    <mergeCell ref="K412:K414"/>
    <mergeCell ref="L412:L414"/>
    <mergeCell ref="M412:M414"/>
    <mergeCell ref="B409:B411"/>
    <mergeCell ref="J409:J411"/>
    <mergeCell ref="K409:K411"/>
    <mergeCell ref="L409:L411"/>
    <mergeCell ref="M409:M411"/>
    <mergeCell ref="B418:B420"/>
    <mergeCell ref="J418:J420"/>
    <mergeCell ref="K418:K420"/>
    <mergeCell ref="L418:L420"/>
    <mergeCell ref="M418:M420"/>
    <mergeCell ref="B415:B417"/>
    <mergeCell ref="J415:J417"/>
    <mergeCell ref="K415:K417"/>
    <mergeCell ref="L415:L417"/>
    <mergeCell ref="M415:M417"/>
    <mergeCell ref="B424:B426"/>
    <mergeCell ref="J424:J426"/>
    <mergeCell ref="K424:K426"/>
    <mergeCell ref="L424:L426"/>
    <mergeCell ref="M424:M426"/>
    <mergeCell ref="B421:B423"/>
    <mergeCell ref="J421:J423"/>
    <mergeCell ref="K421:K423"/>
    <mergeCell ref="L421:L423"/>
    <mergeCell ref="M421:M423"/>
    <mergeCell ref="B430:B432"/>
    <mergeCell ref="J430:J432"/>
    <mergeCell ref="K430:K432"/>
    <mergeCell ref="L430:L432"/>
    <mergeCell ref="M430:M432"/>
    <mergeCell ref="B427:B429"/>
    <mergeCell ref="J427:J429"/>
    <mergeCell ref="K427:K429"/>
    <mergeCell ref="L427:L429"/>
    <mergeCell ref="M427:M429"/>
    <mergeCell ref="B436:B438"/>
    <mergeCell ref="J436:J438"/>
    <mergeCell ref="K436:K438"/>
    <mergeCell ref="L436:L438"/>
    <mergeCell ref="M436:M438"/>
    <mergeCell ref="B433:B435"/>
    <mergeCell ref="J433:J435"/>
    <mergeCell ref="K433:K435"/>
    <mergeCell ref="L433:L435"/>
    <mergeCell ref="M433:M435"/>
    <mergeCell ref="B442:B444"/>
    <mergeCell ref="J442:J444"/>
    <mergeCell ref="K442:K444"/>
    <mergeCell ref="L442:L444"/>
    <mergeCell ref="M442:M444"/>
    <mergeCell ref="B439:B441"/>
    <mergeCell ref="J439:J441"/>
    <mergeCell ref="K439:K441"/>
    <mergeCell ref="L439:L441"/>
    <mergeCell ref="M439:M441"/>
    <mergeCell ref="B448:B450"/>
    <mergeCell ref="J448:J450"/>
    <mergeCell ref="K448:K450"/>
    <mergeCell ref="L448:L450"/>
    <mergeCell ref="M448:M450"/>
    <mergeCell ref="B445:B447"/>
    <mergeCell ref="J445:J447"/>
    <mergeCell ref="K445:K447"/>
    <mergeCell ref="L445:L447"/>
    <mergeCell ref="M445:M447"/>
    <mergeCell ref="B454:B456"/>
    <mergeCell ref="J454:J456"/>
    <mergeCell ref="K454:K456"/>
    <mergeCell ref="L454:L456"/>
    <mergeCell ref="M454:M456"/>
    <mergeCell ref="B451:B453"/>
    <mergeCell ref="J451:J453"/>
    <mergeCell ref="K451:K453"/>
    <mergeCell ref="L451:L453"/>
    <mergeCell ref="M451:M453"/>
    <mergeCell ref="B460:B462"/>
    <mergeCell ref="J460:J462"/>
    <mergeCell ref="K460:K462"/>
    <mergeCell ref="L460:L462"/>
    <mergeCell ref="M460:M462"/>
    <mergeCell ref="B457:B459"/>
    <mergeCell ref="J457:J459"/>
    <mergeCell ref="K457:K459"/>
    <mergeCell ref="L457:L459"/>
    <mergeCell ref="M457:M459"/>
    <mergeCell ref="B466:B468"/>
    <mergeCell ref="J466:J468"/>
    <mergeCell ref="K466:K468"/>
    <mergeCell ref="L466:L468"/>
    <mergeCell ref="M466:M468"/>
    <mergeCell ref="B463:B465"/>
    <mergeCell ref="J463:J465"/>
    <mergeCell ref="K463:K465"/>
    <mergeCell ref="L463:L465"/>
    <mergeCell ref="M463:M465"/>
    <mergeCell ref="B472:B474"/>
    <mergeCell ref="J472:J474"/>
    <mergeCell ref="K472:K474"/>
    <mergeCell ref="L472:L474"/>
    <mergeCell ref="M472:M474"/>
    <mergeCell ref="B469:B471"/>
    <mergeCell ref="J469:J471"/>
    <mergeCell ref="K469:K471"/>
    <mergeCell ref="L469:L471"/>
    <mergeCell ref="M469:M471"/>
    <mergeCell ref="B478:B480"/>
    <mergeCell ref="J478:J480"/>
    <mergeCell ref="K478:K480"/>
    <mergeCell ref="L478:L480"/>
    <mergeCell ref="M478:M480"/>
    <mergeCell ref="B475:B477"/>
    <mergeCell ref="J475:J477"/>
    <mergeCell ref="K475:K477"/>
    <mergeCell ref="L475:L477"/>
    <mergeCell ref="M475:M477"/>
    <mergeCell ref="B484:B486"/>
    <mergeCell ref="J484:J486"/>
    <mergeCell ref="K484:K486"/>
    <mergeCell ref="L484:L486"/>
    <mergeCell ref="M484:M486"/>
    <mergeCell ref="B481:B483"/>
    <mergeCell ref="J481:J483"/>
    <mergeCell ref="K481:K483"/>
    <mergeCell ref="L481:L483"/>
    <mergeCell ref="M481:M483"/>
    <mergeCell ref="B490:B492"/>
    <mergeCell ref="J490:J492"/>
    <mergeCell ref="K490:K492"/>
    <mergeCell ref="L490:L492"/>
    <mergeCell ref="M490:M492"/>
    <mergeCell ref="B487:B489"/>
    <mergeCell ref="J487:J489"/>
    <mergeCell ref="K487:K489"/>
    <mergeCell ref="L487:L489"/>
    <mergeCell ref="M487:M489"/>
    <mergeCell ref="B496:B498"/>
    <mergeCell ref="J496:J498"/>
    <mergeCell ref="K496:K498"/>
    <mergeCell ref="L496:L498"/>
    <mergeCell ref="M496:M498"/>
    <mergeCell ref="B493:B495"/>
    <mergeCell ref="J493:J495"/>
    <mergeCell ref="K493:K495"/>
    <mergeCell ref="L493:L495"/>
    <mergeCell ref="M493:M495"/>
    <mergeCell ref="B502:B504"/>
    <mergeCell ref="J502:J504"/>
    <mergeCell ref="K502:K504"/>
    <mergeCell ref="L502:L504"/>
    <mergeCell ref="M502:M504"/>
    <mergeCell ref="B499:B501"/>
    <mergeCell ref="J499:J501"/>
    <mergeCell ref="K499:K501"/>
    <mergeCell ref="L499:L501"/>
    <mergeCell ref="M499:M501"/>
    <mergeCell ref="B508:B510"/>
    <mergeCell ref="J508:J510"/>
    <mergeCell ref="K508:K510"/>
    <mergeCell ref="L508:L510"/>
    <mergeCell ref="M508:M510"/>
    <mergeCell ref="B505:B507"/>
    <mergeCell ref="J505:J507"/>
    <mergeCell ref="K505:K507"/>
    <mergeCell ref="L505:L507"/>
    <mergeCell ref="M505:M507"/>
    <mergeCell ref="B514:B516"/>
    <mergeCell ref="J514:J516"/>
    <mergeCell ref="K514:K516"/>
    <mergeCell ref="L514:L516"/>
    <mergeCell ref="M514:M516"/>
    <mergeCell ref="B511:B513"/>
    <mergeCell ref="J511:J513"/>
    <mergeCell ref="K511:K513"/>
    <mergeCell ref="L511:L513"/>
    <mergeCell ref="M511:M513"/>
    <mergeCell ref="B520:B522"/>
    <mergeCell ref="J520:J522"/>
    <mergeCell ref="K520:K522"/>
    <mergeCell ref="L520:L522"/>
    <mergeCell ref="M520:M522"/>
    <mergeCell ref="B517:B519"/>
    <mergeCell ref="J517:J519"/>
    <mergeCell ref="K517:K519"/>
    <mergeCell ref="L517:L519"/>
    <mergeCell ref="M517:M519"/>
    <mergeCell ref="B526:B528"/>
    <mergeCell ref="J526:J528"/>
    <mergeCell ref="K526:K528"/>
    <mergeCell ref="L526:L528"/>
    <mergeCell ref="M526:M528"/>
    <mergeCell ref="B523:B525"/>
    <mergeCell ref="J523:J525"/>
    <mergeCell ref="K523:K525"/>
    <mergeCell ref="L523:L525"/>
    <mergeCell ref="M523:M525"/>
    <mergeCell ref="B532:B534"/>
    <mergeCell ref="J532:J534"/>
    <mergeCell ref="K532:K534"/>
    <mergeCell ref="L532:L534"/>
    <mergeCell ref="M532:M534"/>
    <mergeCell ref="B529:B531"/>
    <mergeCell ref="J529:J531"/>
    <mergeCell ref="K529:K531"/>
    <mergeCell ref="L529:L531"/>
    <mergeCell ref="M529:M531"/>
    <mergeCell ref="B538:B540"/>
    <mergeCell ref="J538:J540"/>
    <mergeCell ref="K538:K540"/>
    <mergeCell ref="L538:L540"/>
    <mergeCell ref="M538:M540"/>
    <mergeCell ref="B535:B537"/>
    <mergeCell ref="J535:J537"/>
    <mergeCell ref="K535:K537"/>
    <mergeCell ref="L535:L537"/>
    <mergeCell ref="M535:M537"/>
    <mergeCell ref="B544:B546"/>
    <mergeCell ref="J544:J546"/>
    <mergeCell ref="K544:K546"/>
    <mergeCell ref="L544:L546"/>
    <mergeCell ref="M544:M546"/>
    <mergeCell ref="B541:B543"/>
    <mergeCell ref="J541:J543"/>
    <mergeCell ref="K541:K543"/>
    <mergeCell ref="L541:L543"/>
    <mergeCell ref="M541:M543"/>
    <mergeCell ref="B550:B552"/>
    <mergeCell ref="J550:J552"/>
    <mergeCell ref="K550:K552"/>
    <mergeCell ref="L550:L552"/>
    <mergeCell ref="M550:M552"/>
    <mergeCell ref="B547:B549"/>
    <mergeCell ref="J547:J549"/>
    <mergeCell ref="K547:K549"/>
    <mergeCell ref="L547:L549"/>
    <mergeCell ref="M547:M549"/>
    <mergeCell ref="B556:B558"/>
    <mergeCell ref="J556:J558"/>
    <mergeCell ref="K556:K558"/>
    <mergeCell ref="L556:L558"/>
    <mergeCell ref="M556:M558"/>
    <mergeCell ref="B553:B555"/>
    <mergeCell ref="J553:J555"/>
    <mergeCell ref="K553:K555"/>
    <mergeCell ref="L553:L555"/>
    <mergeCell ref="M553:M555"/>
    <mergeCell ref="B562:B564"/>
    <mergeCell ref="J562:J564"/>
    <mergeCell ref="K562:K564"/>
    <mergeCell ref="L562:L564"/>
    <mergeCell ref="M562:M564"/>
    <mergeCell ref="B559:B561"/>
    <mergeCell ref="J559:J561"/>
    <mergeCell ref="K559:K561"/>
    <mergeCell ref="L559:L561"/>
    <mergeCell ref="M559:M561"/>
    <mergeCell ref="B568:B570"/>
    <mergeCell ref="J568:J570"/>
    <mergeCell ref="K568:K570"/>
    <mergeCell ref="L568:L570"/>
    <mergeCell ref="M568:M570"/>
    <mergeCell ref="B565:B567"/>
    <mergeCell ref="J565:J567"/>
    <mergeCell ref="K565:K567"/>
    <mergeCell ref="L565:L567"/>
    <mergeCell ref="M565:M567"/>
    <mergeCell ref="B574:B576"/>
    <mergeCell ref="J574:J576"/>
    <mergeCell ref="K574:K576"/>
    <mergeCell ref="L574:L576"/>
    <mergeCell ref="M574:M576"/>
    <mergeCell ref="B571:B573"/>
    <mergeCell ref="J571:J573"/>
    <mergeCell ref="K571:K573"/>
    <mergeCell ref="L571:L573"/>
    <mergeCell ref="M571:M573"/>
    <mergeCell ref="B580:B582"/>
    <mergeCell ref="J580:J582"/>
    <mergeCell ref="K580:K582"/>
    <mergeCell ref="L580:L582"/>
    <mergeCell ref="M580:M582"/>
    <mergeCell ref="B577:B579"/>
    <mergeCell ref="J577:J579"/>
    <mergeCell ref="K577:K579"/>
    <mergeCell ref="L577:L579"/>
    <mergeCell ref="M577:M579"/>
    <mergeCell ref="B586:B588"/>
    <mergeCell ref="J586:J588"/>
    <mergeCell ref="K586:K588"/>
    <mergeCell ref="L586:L588"/>
    <mergeCell ref="M586:M588"/>
    <mergeCell ref="B583:B585"/>
    <mergeCell ref="J583:J585"/>
    <mergeCell ref="K583:K585"/>
    <mergeCell ref="L583:L585"/>
    <mergeCell ref="M583:M585"/>
    <mergeCell ref="B592:B594"/>
    <mergeCell ref="J592:J594"/>
    <mergeCell ref="K592:K594"/>
    <mergeCell ref="L592:L594"/>
    <mergeCell ref="M592:M594"/>
    <mergeCell ref="B589:B591"/>
    <mergeCell ref="J589:J591"/>
    <mergeCell ref="K589:K591"/>
    <mergeCell ref="L589:L591"/>
    <mergeCell ref="M589:M591"/>
    <mergeCell ref="B598:B600"/>
    <mergeCell ref="J598:J600"/>
    <mergeCell ref="K598:K600"/>
    <mergeCell ref="L598:L600"/>
    <mergeCell ref="M598:M600"/>
    <mergeCell ref="B595:B597"/>
    <mergeCell ref="J595:J597"/>
    <mergeCell ref="K595:K597"/>
    <mergeCell ref="L595:L597"/>
    <mergeCell ref="M595:M597"/>
    <mergeCell ref="B604:B606"/>
    <mergeCell ref="J604:J606"/>
    <mergeCell ref="K604:K606"/>
    <mergeCell ref="L604:L606"/>
    <mergeCell ref="M604:M606"/>
    <mergeCell ref="B601:B603"/>
    <mergeCell ref="J601:J603"/>
    <mergeCell ref="K601:K603"/>
    <mergeCell ref="L601:L603"/>
    <mergeCell ref="M601:M603"/>
    <mergeCell ref="B610:B612"/>
    <mergeCell ref="J610:J612"/>
    <mergeCell ref="K610:K612"/>
    <mergeCell ref="L610:L612"/>
    <mergeCell ref="M610:M612"/>
    <mergeCell ref="B607:B609"/>
    <mergeCell ref="J607:J609"/>
    <mergeCell ref="K607:K609"/>
    <mergeCell ref="L607:L609"/>
    <mergeCell ref="M607:M609"/>
    <mergeCell ref="B616:B618"/>
    <mergeCell ref="J616:J618"/>
    <mergeCell ref="K616:K618"/>
    <mergeCell ref="L616:L618"/>
    <mergeCell ref="M616:M618"/>
    <mergeCell ref="B613:B615"/>
    <mergeCell ref="J613:J615"/>
    <mergeCell ref="K613:K615"/>
    <mergeCell ref="L613:L615"/>
    <mergeCell ref="M613:M615"/>
    <mergeCell ref="B622:B624"/>
    <mergeCell ref="J622:J624"/>
    <mergeCell ref="K622:K624"/>
    <mergeCell ref="L622:L624"/>
    <mergeCell ref="M622:M624"/>
    <mergeCell ref="B619:B621"/>
    <mergeCell ref="J619:J621"/>
    <mergeCell ref="K619:K621"/>
    <mergeCell ref="L619:L621"/>
    <mergeCell ref="M619:M621"/>
    <mergeCell ref="B628:B630"/>
    <mergeCell ref="J628:J630"/>
    <mergeCell ref="K628:K630"/>
    <mergeCell ref="L628:L630"/>
    <mergeCell ref="M628:M630"/>
    <mergeCell ref="B625:B627"/>
    <mergeCell ref="J625:J627"/>
    <mergeCell ref="K625:K627"/>
    <mergeCell ref="L625:L627"/>
    <mergeCell ref="M625:M627"/>
    <mergeCell ref="B634:B636"/>
    <mergeCell ref="J634:J636"/>
    <mergeCell ref="K634:K636"/>
    <mergeCell ref="L634:L636"/>
    <mergeCell ref="M634:M636"/>
    <mergeCell ref="B631:B633"/>
    <mergeCell ref="J631:J633"/>
    <mergeCell ref="K631:K633"/>
    <mergeCell ref="L631:L633"/>
    <mergeCell ref="M631:M633"/>
    <mergeCell ref="B640:B642"/>
    <mergeCell ref="J640:J642"/>
    <mergeCell ref="K640:K642"/>
    <mergeCell ref="L640:L642"/>
    <mergeCell ref="M640:M642"/>
    <mergeCell ref="B637:B639"/>
    <mergeCell ref="J637:J639"/>
    <mergeCell ref="K637:K639"/>
    <mergeCell ref="L637:L639"/>
    <mergeCell ref="M637:M639"/>
    <mergeCell ref="B646:B648"/>
    <mergeCell ref="J646:J648"/>
    <mergeCell ref="K646:K648"/>
    <mergeCell ref="L646:L648"/>
    <mergeCell ref="M646:M648"/>
    <mergeCell ref="B643:B645"/>
    <mergeCell ref="J643:J645"/>
    <mergeCell ref="K643:K645"/>
    <mergeCell ref="L643:L645"/>
    <mergeCell ref="M643:M645"/>
    <mergeCell ref="B652:B654"/>
    <mergeCell ref="J652:J654"/>
    <mergeCell ref="K652:K654"/>
    <mergeCell ref="L652:L654"/>
    <mergeCell ref="M652:M654"/>
    <mergeCell ref="B649:B651"/>
    <mergeCell ref="J649:J651"/>
    <mergeCell ref="K649:K651"/>
    <mergeCell ref="L649:L651"/>
    <mergeCell ref="M649:M651"/>
    <mergeCell ref="B658:B660"/>
    <mergeCell ref="J658:J660"/>
    <mergeCell ref="K658:K660"/>
    <mergeCell ref="L658:L660"/>
    <mergeCell ref="M658:M660"/>
    <mergeCell ref="B655:B657"/>
    <mergeCell ref="J655:J657"/>
    <mergeCell ref="K655:K657"/>
    <mergeCell ref="L655:L657"/>
    <mergeCell ref="M655:M657"/>
    <mergeCell ref="B664:B666"/>
    <mergeCell ref="J664:J666"/>
    <mergeCell ref="K664:K666"/>
    <mergeCell ref="L664:L666"/>
    <mergeCell ref="M664:M666"/>
    <mergeCell ref="B661:B663"/>
    <mergeCell ref="J661:J663"/>
    <mergeCell ref="K661:K663"/>
    <mergeCell ref="L661:L663"/>
    <mergeCell ref="M661:M663"/>
    <mergeCell ref="B670:B672"/>
    <mergeCell ref="J670:J672"/>
    <mergeCell ref="K670:K672"/>
    <mergeCell ref="L670:L672"/>
    <mergeCell ref="M670:M672"/>
    <mergeCell ref="B667:B669"/>
    <mergeCell ref="J667:J669"/>
    <mergeCell ref="K667:K669"/>
    <mergeCell ref="L667:L669"/>
    <mergeCell ref="M667:M669"/>
    <mergeCell ref="B676:B678"/>
    <mergeCell ref="J676:J678"/>
    <mergeCell ref="K676:K678"/>
    <mergeCell ref="L676:L678"/>
    <mergeCell ref="M676:M678"/>
    <mergeCell ref="B673:B675"/>
    <mergeCell ref="J673:J675"/>
    <mergeCell ref="K673:K675"/>
    <mergeCell ref="L673:L675"/>
    <mergeCell ref="M673:M675"/>
    <mergeCell ref="B682:B684"/>
    <mergeCell ref="J682:J684"/>
    <mergeCell ref="K682:K684"/>
    <mergeCell ref="L682:L684"/>
    <mergeCell ref="M682:M684"/>
    <mergeCell ref="B679:B681"/>
    <mergeCell ref="J679:J681"/>
    <mergeCell ref="K679:K681"/>
    <mergeCell ref="L679:L681"/>
    <mergeCell ref="M679:M681"/>
    <mergeCell ref="B688:B690"/>
    <mergeCell ref="J688:J690"/>
    <mergeCell ref="K688:K690"/>
    <mergeCell ref="L688:L690"/>
    <mergeCell ref="M688:M690"/>
    <mergeCell ref="B685:B687"/>
    <mergeCell ref="J685:J687"/>
    <mergeCell ref="K685:K687"/>
    <mergeCell ref="L685:L687"/>
    <mergeCell ref="M685:M687"/>
    <mergeCell ref="B694:B696"/>
    <mergeCell ref="J694:J696"/>
    <mergeCell ref="K694:K696"/>
    <mergeCell ref="L694:L696"/>
    <mergeCell ref="M694:M696"/>
    <mergeCell ref="B691:B693"/>
    <mergeCell ref="J691:J693"/>
    <mergeCell ref="K691:K693"/>
    <mergeCell ref="L691:L693"/>
    <mergeCell ref="M691:M693"/>
    <mergeCell ref="B700:B702"/>
    <mergeCell ref="J700:J702"/>
    <mergeCell ref="K700:K702"/>
    <mergeCell ref="L700:L702"/>
    <mergeCell ref="M700:M702"/>
    <mergeCell ref="B697:B699"/>
    <mergeCell ref="J697:J699"/>
    <mergeCell ref="K697:K699"/>
    <mergeCell ref="L697:L699"/>
    <mergeCell ref="M697:M699"/>
    <mergeCell ref="B706:B708"/>
    <mergeCell ref="J706:J708"/>
    <mergeCell ref="K706:K708"/>
    <mergeCell ref="L706:L708"/>
    <mergeCell ref="M706:M708"/>
    <mergeCell ref="B703:B705"/>
    <mergeCell ref="J703:J705"/>
    <mergeCell ref="K703:K705"/>
    <mergeCell ref="L703:L705"/>
    <mergeCell ref="M703:M705"/>
    <mergeCell ref="B712:B714"/>
    <mergeCell ref="J712:J714"/>
    <mergeCell ref="K712:K714"/>
    <mergeCell ref="L712:L714"/>
    <mergeCell ref="M712:M714"/>
    <mergeCell ref="B709:B711"/>
    <mergeCell ref="J709:J711"/>
    <mergeCell ref="K709:K711"/>
    <mergeCell ref="L709:L711"/>
    <mergeCell ref="M709:M711"/>
    <mergeCell ref="B718:B720"/>
    <mergeCell ref="J718:J720"/>
    <mergeCell ref="K718:K720"/>
    <mergeCell ref="L718:L720"/>
    <mergeCell ref="M718:M720"/>
    <mergeCell ref="B715:B717"/>
    <mergeCell ref="J715:J717"/>
    <mergeCell ref="K715:K717"/>
    <mergeCell ref="L715:L717"/>
    <mergeCell ref="M715:M717"/>
    <mergeCell ref="B724:B726"/>
    <mergeCell ref="J724:J726"/>
    <mergeCell ref="K724:K726"/>
    <mergeCell ref="L724:L726"/>
    <mergeCell ref="M724:M726"/>
    <mergeCell ref="B721:B723"/>
    <mergeCell ref="J721:J723"/>
    <mergeCell ref="K721:K723"/>
    <mergeCell ref="L721:L723"/>
    <mergeCell ref="M721:M723"/>
    <mergeCell ref="B730:B732"/>
    <mergeCell ref="J730:J732"/>
    <mergeCell ref="K730:K732"/>
    <mergeCell ref="L730:L732"/>
    <mergeCell ref="M730:M732"/>
    <mergeCell ref="B727:B729"/>
    <mergeCell ref="J727:J729"/>
    <mergeCell ref="K727:K729"/>
    <mergeCell ref="L727:L729"/>
    <mergeCell ref="M727:M729"/>
    <mergeCell ref="B736:B738"/>
    <mergeCell ref="J736:J738"/>
    <mergeCell ref="K736:K738"/>
    <mergeCell ref="L736:L738"/>
    <mergeCell ref="M736:M738"/>
    <mergeCell ref="B733:B735"/>
    <mergeCell ref="J733:J735"/>
    <mergeCell ref="K733:K735"/>
    <mergeCell ref="L733:L735"/>
    <mergeCell ref="M733:M735"/>
    <mergeCell ref="B742:B744"/>
    <mergeCell ref="J742:J744"/>
    <mergeCell ref="K742:K744"/>
    <mergeCell ref="L742:L744"/>
    <mergeCell ref="M742:M744"/>
    <mergeCell ref="B739:B741"/>
    <mergeCell ref="J739:J741"/>
    <mergeCell ref="K739:K741"/>
    <mergeCell ref="L739:L741"/>
    <mergeCell ref="M739:M741"/>
    <mergeCell ref="B748:B750"/>
    <mergeCell ref="J748:J750"/>
    <mergeCell ref="K748:K750"/>
    <mergeCell ref="L748:L750"/>
    <mergeCell ref="M748:M750"/>
    <mergeCell ref="B745:B747"/>
    <mergeCell ref="J745:J747"/>
    <mergeCell ref="K745:K747"/>
    <mergeCell ref="L745:L747"/>
    <mergeCell ref="M745:M747"/>
    <mergeCell ref="B754:B756"/>
    <mergeCell ref="J754:J756"/>
    <mergeCell ref="K754:K756"/>
    <mergeCell ref="L754:L756"/>
    <mergeCell ref="M754:M756"/>
    <mergeCell ref="B751:B753"/>
    <mergeCell ref="J751:J753"/>
    <mergeCell ref="K751:K753"/>
    <mergeCell ref="L751:L753"/>
    <mergeCell ref="M751:M753"/>
    <mergeCell ref="B760:B762"/>
    <mergeCell ref="J760:J762"/>
    <mergeCell ref="K760:K762"/>
    <mergeCell ref="L760:L762"/>
    <mergeCell ref="M760:M762"/>
    <mergeCell ref="B757:B759"/>
    <mergeCell ref="J757:J759"/>
    <mergeCell ref="K757:K759"/>
    <mergeCell ref="L757:L759"/>
    <mergeCell ref="M757:M759"/>
    <mergeCell ref="B766:B768"/>
    <mergeCell ref="J766:J768"/>
    <mergeCell ref="K766:K768"/>
    <mergeCell ref="L766:L768"/>
    <mergeCell ref="M766:M768"/>
    <mergeCell ref="B763:B765"/>
    <mergeCell ref="J763:J765"/>
    <mergeCell ref="K763:K765"/>
    <mergeCell ref="L763:L765"/>
    <mergeCell ref="M763:M765"/>
    <mergeCell ref="B772:B774"/>
    <mergeCell ref="J772:J774"/>
    <mergeCell ref="K772:K774"/>
    <mergeCell ref="L772:L774"/>
    <mergeCell ref="M772:M774"/>
    <mergeCell ref="B769:B771"/>
    <mergeCell ref="J769:J771"/>
    <mergeCell ref="K769:K771"/>
    <mergeCell ref="L769:L771"/>
    <mergeCell ref="M769:M771"/>
    <mergeCell ref="B775:B777"/>
    <mergeCell ref="J775:J777"/>
    <mergeCell ref="K775:K777"/>
    <mergeCell ref="L775:L777"/>
    <mergeCell ref="M775:M777"/>
    <mergeCell ref="M798:M800"/>
    <mergeCell ref="B798:B800"/>
    <mergeCell ref="I798:I800"/>
    <mergeCell ref="J798:J800"/>
    <mergeCell ref="K798:K800"/>
    <mergeCell ref="L781:L783"/>
    <mergeCell ref="M781:M783"/>
    <mergeCell ref="B778:B780"/>
    <mergeCell ref="J778:J780"/>
    <mergeCell ref="K778:K780"/>
    <mergeCell ref="L778:L780"/>
    <mergeCell ref="M778:M780"/>
    <mergeCell ref="B790:B791"/>
    <mergeCell ref="C790:C791"/>
    <mergeCell ref="I790:I791"/>
    <mergeCell ref="J790:J791"/>
    <mergeCell ref="K790:K791"/>
    <mergeCell ref="B781:B783"/>
    <mergeCell ref="J781:J783"/>
    <mergeCell ref="K781:K783"/>
    <mergeCell ref="J792:J794"/>
    <mergeCell ref="K792:K794"/>
    <mergeCell ref="L792:L794"/>
    <mergeCell ref="M810:M812"/>
    <mergeCell ref="B813:B815"/>
    <mergeCell ref="I813:I815"/>
    <mergeCell ref="J813:J815"/>
    <mergeCell ref="K813:K815"/>
    <mergeCell ref="L813:L815"/>
    <mergeCell ref="M813:M815"/>
    <mergeCell ref="L798:L800"/>
    <mergeCell ref="M792:M794"/>
    <mergeCell ref="B795:B797"/>
    <mergeCell ref="I795:I797"/>
    <mergeCell ref="J795:J797"/>
    <mergeCell ref="K795:K797"/>
    <mergeCell ref="L795:L797"/>
    <mergeCell ref="M795:M797"/>
    <mergeCell ref="B792:B794"/>
    <mergeCell ref="I792:I794"/>
    <mergeCell ref="B801:B803"/>
    <mergeCell ref="I801:I803"/>
    <mergeCell ref="J801:J803"/>
    <mergeCell ref="K801:K803"/>
    <mergeCell ref="L801:L803"/>
    <mergeCell ref="M801:M803"/>
    <mergeCell ref="L807:L809"/>
    <mergeCell ref="M807:M809"/>
    <mergeCell ref="B804:B806"/>
    <mergeCell ref="I804:I806"/>
    <mergeCell ref="J804:J806"/>
    <mergeCell ref="K804:K806"/>
    <mergeCell ref="L804:L806"/>
    <mergeCell ref="B810:B812"/>
    <mergeCell ref="I810:I812"/>
    <mergeCell ref="J810:J812"/>
    <mergeCell ref="K810:K812"/>
    <mergeCell ref="L810:L812"/>
    <mergeCell ref="M804:M806"/>
    <mergeCell ref="B807:B809"/>
    <mergeCell ref="I807:I809"/>
    <mergeCell ref="J807:J809"/>
    <mergeCell ref="K807:K809"/>
    <mergeCell ref="I816:I818"/>
    <mergeCell ref="J816:J818"/>
    <mergeCell ref="K816:K818"/>
    <mergeCell ref="L816:L818"/>
    <mergeCell ref="M834:M836"/>
    <mergeCell ref="B837:B839"/>
    <mergeCell ref="I837:I839"/>
    <mergeCell ref="J837:J839"/>
    <mergeCell ref="K837:K839"/>
    <mergeCell ref="L837:L839"/>
    <mergeCell ref="K822:K824"/>
    <mergeCell ref="L822:L824"/>
    <mergeCell ref="M816:M818"/>
    <mergeCell ref="B819:B821"/>
    <mergeCell ref="I819:I821"/>
    <mergeCell ref="J819:J821"/>
    <mergeCell ref="K819:K821"/>
    <mergeCell ref="L819:L821"/>
    <mergeCell ref="M819:M821"/>
    <mergeCell ref="B816:B818"/>
    <mergeCell ref="M822:M824"/>
    <mergeCell ref="B825:B827"/>
    <mergeCell ref="I825:I827"/>
    <mergeCell ref="J825:J827"/>
    <mergeCell ref="K825:K827"/>
    <mergeCell ref="L825:L827"/>
    <mergeCell ref="M825:M827"/>
    <mergeCell ref="B822:B824"/>
    <mergeCell ref="I822:I824"/>
    <mergeCell ref="J822:J824"/>
    <mergeCell ref="B849:B851"/>
    <mergeCell ref="I849:I851"/>
    <mergeCell ref="J849:J851"/>
    <mergeCell ref="K849:K851"/>
    <mergeCell ref="L849:L851"/>
    <mergeCell ref="M849:M851"/>
    <mergeCell ref="B846:B848"/>
    <mergeCell ref="M828:M830"/>
    <mergeCell ref="B831:B833"/>
    <mergeCell ref="I831:I833"/>
    <mergeCell ref="J831:J833"/>
    <mergeCell ref="K831:K833"/>
    <mergeCell ref="L831:L833"/>
    <mergeCell ref="M831:M833"/>
    <mergeCell ref="B828:B830"/>
    <mergeCell ref="I828:I830"/>
    <mergeCell ref="J828:J830"/>
    <mergeCell ref="M837:M839"/>
    <mergeCell ref="B834:B836"/>
    <mergeCell ref="I834:I836"/>
    <mergeCell ref="J834:J836"/>
    <mergeCell ref="K834:K836"/>
    <mergeCell ref="L834:L836"/>
    <mergeCell ref="M843:M845"/>
    <mergeCell ref="B840:B842"/>
    <mergeCell ref="I840:I842"/>
    <mergeCell ref="J840:J842"/>
    <mergeCell ref="K840:K842"/>
    <mergeCell ref="L840:L842"/>
    <mergeCell ref="I846:I848"/>
    <mergeCell ref="J846:J848"/>
    <mergeCell ref="K846:K848"/>
    <mergeCell ref="L846:L848"/>
    <mergeCell ref="M840:M842"/>
    <mergeCell ref="B843:B845"/>
    <mergeCell ref="I843:I845"/>
    <mergeCell ref="J843:J845"/>
    <mergeCell ref="K843:K845"/>
    <mergeCell ref="L843:L845"/>
    <mergeCell ref="K828:K830"/>
    <mergeCell ref="L828:L830"/>
    <mergeCell ref="M846:M848"/>
    <mergeCell ref="I852:I854"/>
    <mergeCell ref="J852:J854"/>
    <mergeCell ref="K852:K854"/>
    <mergeCell ref="L852:L854"/>
    <mergeCell ref="M870:M872"/>
    <mergeCell ref="B873:B875"/>
    <mergeCell ref="I873:I875"/>
    <mergeCell ref="J873:J875"/>
    <mergeCell ref="K873:K875"/>
    <mergeCell ref="L873:L875"/>
    <mergeCell ref="K858:K860"/>
    <mergeCell ref="L858:L860"/>
    <mergeCell ref="M852:M854"/>
    <mergeCell ref="B855:B857"/>
    <mergeCell ref="I855:I857"/>
    <mergeCell ref="J855:J857"/>
    <mergeCell ref="K855:K857"/>
    <mergeCell ref="L855:L857"/>
    <mergeCell ref="M855:M857"/>
    <mergeCell ref="B852:B854"/>
    <mergeCell ref="M858:M860"/>
    <mergeCell ref="B861:B863"/>
    <mergeCell ref="I861:I863"/>
    <mergeCell ref="J861:J863"/>
    <mergeCell ref="K861:K863"/>
    <mergeCell ref="L861:L863"/>
    <mergeCell ref="M861:M863"/>
    <mergeCell ref="B858:B860"/>
    <mergeCell ref="I858:I860"/>
    <mergeCell ref="J858:J860"/>
    <mergeCell ref="B885:B887"/>
    <mergeCell ref="I885:I887"/>
    <mergeCell ref="J885:J887"/>
    <mergeCell ref="K885:K887"/>
    <mergeCell ref="L885:L887"/>
    <mergeCell ref="M885:M887"/>
    <mergeCell ref="B882:B884"/>
    <mergeCell ref="M864:M866"/>
    <mergeCell ref="B867:B869"/>
    <mergeCell ref="I867:I869"/>
    <mergeCell ref="J867:J869"/>
    <mergeCell ref="K867:K869"/>
    <mergeCell ref="L867:L869"/>
    <mergeCell ref="M867:M869"/>
    <mergeCell ref="B864:B866"/>
    <mergeCell ref="I864:I866"/>
    <mergeCell ref="J864:J866"/>
    <mergeCell ref="M873:M875"/>
    <mergeCell ref="B870:B872"/>
    <mergeCell ref="I870:I872"/>
    <mergeCell ref="J870:J872"/>
    <mergeCell ref="K870:K872"/>
    <mergeCell ref="L870:L872"/>
    <mergeCell ref="M879:M881"/>
    <mergeCell ref="B876:B878"/>
    <mergeCell ref="I876:I878"/>
    <mergeCell ref="J876:J878"/>
    <mergeCell ref="K876:K878"/>
    <mergeCell ref="L876:L878"/>
    <mergeCell ref="I882:I884"/>
    <mergeCell ref="J882:J884"/>
    <mergeCell ref="K882:K884"/>
    <mergeCell ref="L882:L884"/>
    <mergeCell ref="M876:M878"/>
    <mergeCell ref="B879:B881"/>
    <mergeCell ref="I879:I881"/>
    <mergeCell ref="J879:J881"/>
    <mergeCell ref="K879:K881"/>
    <mergeCell ref="L879:L881"/>
    <mergeCell ref="K864:K866"/>
    <mergeCell ref="L864:L866"/>
    <mergeCell ref="M882:M884"/>
    <mergeCell ref="I888:I890"/>
    <mergeCell ref="J888:J890"/>
    <mergeCell ref="K888:K890"/>
    <mergeCell ref="L888:L890"/>
    <mergeCell ref="M906:M908"/>
    <mergeCell ref="B909:B911"/>
    <mergeCell ref="I909:I911"/>
    <mergeCell ref="J909:J911"/>
    <mergeCell ref="K909:K911"/>
    <mergeCell ref="L909:L911"/>
    <mergeCell ref="K894:K896"/>
    <mergeCell ref="L894:L896"/>
    <mergeCell ref="M888:M890"/>
    <mergeCell ref="B891:B893"/>
    <mergeCell ref="I891:I893"/>
    <mergeCell ref="J891:J893"/>
    <mergeCell ref="K891:K893"/>
    <mergeCell ref="L891:L893"/>
    <mergeCell ref="M891:M893"/>
    <mergeCell ref="B888:B890"/>
    <mergeCell ref="M894:M896"/>
    <mergeCell ref="B897:B899"/>
    <mergeCell ref="I897:I899"/>
    <mergeCell ref="J897:J899"/>
    <mergeCell ref="K897:K899"/>
    <mergeCell ref="L897:L899"/>
    <mergeCell ref="M897:M899"/>
    <mergeCell ref="B894:B896"/>
    <mergeCell ref="I894:I896"/>
    <mergeCell ref="J894:J896"/>
    <mergeCell ref="K900:K902"/>
    <mergeCell ref="L900:L902"/>
    <mergeCell ref="M918:M920"/>
    <mergeCell ref="B921:B923"/>
    <mergeCell ref="I921:I923"/>
    <mergeCell ref="J921:J923"/>
    <mergeCell ref="K921:K923"/>
    <mergeCell ref="L921:L923"/>
    <mergeCell ref="M921:M923"/>
    <mergeCell ref="B918:B920"/>
    <mergeCell ref="M900:M902"/>
    <mergeCell ref="B903:B905"/>
    <mergeCell ref="I903:I905"/>
    <mergeCell ref="J903:J905"/>
    <mergeCell ref="K903:K905"/>
    <mergeCell ref="L903:L905"/>
    <mergeCell ref="M903:M905"/>
    <mergeCell ref="B900:B902"/>
    <mergeCell ref="I900:I902"/>
    <mergeCell ref="J900:J902"/>
    <mergeCell ref="M909:M911"/>
    <mergeCell ref="B906:B908"/>
    <mergeCell ref="I906:I908"/>
    <mergeCell ref="J906:J908"/>
    <mergeCell ref="K906:K908"/>
    <mergeCell ref="L906:L908"/>
    <mergeCell ref="B924:B926"/>
    <mergeCell ref="M930:M932"/>
    <mergeCell ref="B933:B935"/>
    <mergeCell ref="I933:I935"/>
    <mergeCell ref="J933:J935"/>
    <mergeCell ref="K933:K935"/>
    <mergeCell ref="L933:L935"/>
    <mergeCell ref="M933:M935"/>
    <mergeCell ref="B930:B932"/>
    <mergeCell ref="I930:I932"/>
    <mergeCell ref="J930:J932"/>
    <mergeCell ref="M915:M917"/>
    <mergeCell ref="B912:B914"/>
    <mergeCell ref="I912:I914"/>
    <mergeCell ref="J912:J914"/>
    <mergeCell ref="K912:K914"/>
    <mergeCell ref="L912:L914"/>
    <mergeCell ref="I918:I920"/>
    <mergeCell ref="J918:J920"/>
    <mergeCell ref="K918:K920"/>
    <mergeCell ref="L918:L920"/>
    <mergeCell ref="M912:M914"/>
    <mergeCell ref="B915:B917"/>
    <mergeCell ref="I915:I917"/>
    <mergeCell ref="J915:J917"/>
    <mergeCell ref="K915:K917"/>
    <mergeCell ref="L915:L917"/>
    <mergeCell ref="B936:B938"/>
    <mergeCell ref="I936:I938"/>
    <mergeCell ref="J936:J938"/>
    <mergeCell ref="K936:K938"/>
    <mergeCell ref="L936:L938"/>
    <mergeCell ref="B942:B944"/>
    <mergeCell ref="H942:H944"/>
    <mergeCell ref="I942:I944"/>
    <mergeCell ref="J942:J944"/>
    <mergeCell ref="K942:K944"/>
    <mergeCell ref="M936:M938"/>
    <mergeCell ref="B939:B941"/>
    <mergeCell ref="I939:I941"/>
    <mergeCell ref="J939:J941"/>
    <mergeCell ref="K939:K941"/>
    <mergeCell ref="I924:I926"/>
    <mergeCell ref="J924:J926"/>
    <mergeCell ref="K924:K926"/>
    <mergeCell ref="L924:L926"/>
    <mergeCell ref="L942:L944"/>
    <mergeCell ref="M942:M944"/>
    <mergeCell ref="L939:L941"/>
    <mergeCell ref="M939:M941"/>
    <mergeCell ref="K930:K932"/>
    <mergeCell ref="L930:L932"/>
    <mergeCell ref="M924:M926"/>
    <mergeCell ref="B927:B929"/>
    <mergeCell ref="I927:I929"/>
    <mergeCell ref="J927:J929"/>
    <mergeCell ref="K927:K929"/>
    <mergeCell ref="L927:L929"/>
    <mergeCell ref="M927:M9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Opr_Point</vt:lpstr>
      <vt:lpstr>Opr_Line</vt:lpstr>
      <vt:lpstr>Dictionary</vt:lpstr>
      <vt:lpstr>LMH Point</vt:lpstr>
      <vt:lpstr>POP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FBD</dc:creator>
  <cp:lastModifiedBy>Hamid</cp:lastModifiedBy>
  <cp:lastPrinted>2026-05-03T06:29:43Z</cp:lastPrinted>
  <dcterms:created xsi:type="dcterms:W3CDTF">2019-05-30T05:23:40Z</dcterms:created>
  <dcterms:modified xsi:type="dcterms:W3CDTF">2026-05-04T04:28:05Z</dcterms:modified>
</cp:coreProperties>
</file>